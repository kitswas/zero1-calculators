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Inflation" sheetId="1" r:id="rId5"/>
    <sheet state="visible" name="Year by Year" sheetId="2" r:id="rId6"/>
    <sheet state="visible" name="Goal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Source: CPI general, MoSPI.</t>
      </text>
    </comment>
    <comment authorId="0" ref="F11">
      <text>
        <t xml:space="preserve">Source: ~14% — insurer claims reports (ACKO / Mercer).</t>
      </text>
    </comment>
    <comment authorId="0" ref="F10">
      <text>
        <t xml:space="preserve">Source: Real school-fee inflation ~10–12% — 1 Finance / Kotak research.</t>
      </text>
    </comment>
    <comment authorId="0" ref="F9">
      <text>
        <t xml:space="preserve">Source: An EMI is fixed. It never rises and shrinks in real terms each year. Fill this instead of Rent if you have a home loan; leave 'paid before' blank.</t>
      </text>
    </comment>
    <comment authorId="0" ref="F8">
      <text>
        <t xml:space="preserve">Source: CPI housing ~4% (MoSPI); real renewals often 7–10%.</t>
      </text>
    </comment>
    <comment authorId="0" ref="F7">
      <text>
        <t xml:space="preserve">Source: CPI food, MoSPI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Real school-fee inflation runs ~10-12% (1 Finance / Kotak). Edit if yours differs.</t>
      </text>
    </comment>
  </commentList>
</comments>
</file>

<file path=xl/sharedStrings.xml><?xml version="1.0" encoding="utf-8"?>
<sst xmlns="http://schemas.openxmlformats.org/spreadsheetml/2006/main" count="62" uniqueCount="61">
  <si>
    <t>YEAR-BY-YEAR: HOW YOUR COSTS CLIMB</t>
  </si>
  <si>
    <t>ONE BIG GOAL — THE REAL PRICE TAG</t>
  </si>
  <si>
    <t>YOUR REAL INFLATION CALCULATOR</t>
  </si>
  <si>
    <t>Plan a goal (a child's college, a wedding) against its REAL inflation, not the 6% everyone assumes. Fill the yellow cells.</t>
  </si>
  <si>
    <t>Each expense grows at its own speed — watch school fees and medical pull away from the rest. 5-year marks are highlighted. Numbers flow from the main tab.</t>
  </si>
  <si>
    <t>Fill 'what you paid before' to get YOUR real rate. Can't remember? Leave it blank and the sheet uses the standard rate instead.</t>
  </si>
  <si>
    <t>WHAT YOU'RE PLANNING FOR</t>
  </si>
  <si>
    <t>Year</t>
  </si>
  <si>
    <t>Don't trust the average — measure your own. Type what you ACTUALLY pay now vs a few years back, and the sheet works out your real inflation.</t>
  </si>
  <si>
    <t>Food</t>
  </si>
  <si>
    <t>Rent</t>
  </si>
  <si>
    <t>Goal (e.g. kid's college)</t>
  </si>
  <si>
    <t>Home EMI</t>
  </si>
  <si>
    <t>School / college</t>
  </si>
  <si>
    <t>Medical</t>
  </si>
  <si>
    <t>Lifestyle</t>
  </si>
  <si>
    <t>TOTAL (your rate)</t>
  </si>
  <si>
    <t>If it were 6%</t>
  </si>
  <si>
    <t>Kid's college education</t>
  </si>
  <si>
    <t>Compare the SAME thing — same school, same size grocery basket, same policy — so we measure price rises, not lifestyle upgrades.</t>
  </si>
  <si>
    <t>HOW TO USE  —  Fill the YELLOW cells: what you pay now, what you paid before, and how many years ago. Everything else fills itself.</t>
  </si>
  <si>
    <t>What it costs TODAY</t>
  </si>
  <si>
    <t>Category</t>
  </si>
  <si>
    <t>Years until you need it</t>
  </si>
  <si>
    <t>What you pay now (₹/mo)</t>
  </si>
  <si>
    <t>What you paid before (₹/mo)</t>
  </si>
  <si>
    <t>Years ago</t>
  </si>
  <si>
    <t>Your real yearly rise</t>
  </si>
  <si>
    <t>Standard rate (if unsure)</t>
  </si>
  <si>
    <t>Rate used</t>
  </si>
  <si>
    <t>Food &amp; groceries</t>
  </si>
  <si>
    <t>Education inflation you expect</t>
  </si>
  <si>
    <t>What most people wrongly plan with</t>
  </si>
  <si>
    <t>WHAT IT ACTUALLY COSTS</t>
  </si>
  <si>
    <t>What you'd aim for at 6%</t>
  </si>
  <si>
    <t>What it will REALLY cost</t>
  </si>
  <si>
    <t>The shortfall you never saw coming</t>
  </si>
  <si>
    <t>Illustrative only — not financial advice and no return is promised. For your own goals, consult a registered financial advisor.</t>
  </si>
  <si>
    <t>Home loan EMI  (fixed — does NOT inflate)</t>
  </si>
  <si>
    <t>Kids' school / college fees</t>
  </si>
  <si>
    <t>Medical + health insurance</t>
  </si>
  <si>
    <t>Lifestyle — eating out, OTT, travel, gadgets</t>
  </si>
  <si>
    <t>TOTAL you spend every month</t>
  </si>
  <si>
    <t>YOUR NUMBER</t>
  </si>
  <si>
    <t>Your personal inflation</t>
  </si>
  <si>
    <t xml:space="preserve">Generally considered number </t>
  </si>
  <si>
    <t>Your prices climb faster by</t>
  </si>
  <si>
    <t>IS YOUR INVESTING KEEPING UP?</t>
  </si>
  <si>
    <t>What you invest every month now (SIP)</t>
  </si>
  <si>
    <t>How much you raise it each year (your step-up)</t>
  </si>
  <si>
    <t>Step-up you need just to match your own inflation</t>
  </si>
  <si>
    <t>So raise your SIP next year by at least</t>
  </si>
  <si>
    <t>This only checks that your SIP grows as fast as your costs. It assumes NO investment return and promises none — for that, talk to a registered financial advisor.</t>
  </si>
  <si>
    <t>WHERE THE STANDARD RATES COME FROM</t>
  </si>
  <si>
    <t>• Food, Rent, Lifestyle — MoSPI Consumer Price Index (CPI). Real rent renewals often run higher than the CPI housing figure.</t>
  </si>
  <si>
    <t>• Home loan EMI — fixed by your loan; it does not inflate and gets lighter in real terms each year.</t>
  </si>
  <si>
    <t>• Kids' education — real school-fee inflation ~10–12% (1 Finance). Official CPI education (~3%) is dragged down by government-school fees.</t>
  </si>
  <si>
    <t>• Medical + insurance — ~14% from insurer &amp; actuarial claims reports (ACKO India Health Report, Mercer Marsh).</t>
  </si>
  <si>
    <t>• Official comparison set to 6% — near the top of the RBI's comfort band. These are only used if you leave 'what you paid before' blank.</t>
  </si>
  <si>
    <t xml:space="preserve">Illustrative only. Shows how prices in YOUR basket may move. </t>
  </si>
  <si>
    <t>'TOTAL (your rate)' is what your current lifestyle costs that year. 'If it were 6%' is what the official number predicts — the gap is what nobody warned you about.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</si>
</sst>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₹###,##0"/>
    <numFmt numFmtId="165" formatCode="0.0%"/>
    <numFmt numFmtId="166" formatCode="\+0.0%;\-0.0%;0.0%"/>
  </numFmts>
  <fonts count="29">
    <font>
      <sz val="11.0"/>
      <color theme="1"/>
      <name val="Calibri"/>
      <scheme val="minor"/>
    </font>
    <font>
      <b/>
      <sz val="16.0"/>
      <color rgb="FFFFFFFF"/>
      <name val="Arial"/>
    </font>
    <font>
      <b/>
      <sz val="18.0"/>
      <color rgb="FFFFFFFF"/>
      <name val="Arial"/>
    </font>
    <font/>
    <font>
      <sz val="9.0"/>
      <color rgb="FF4A524C"/>
      <name val="Arial"/>
    </font>
    <font>
      <i/>
      <sz val="9.0"/>
      <color rgb="FF4A524C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sz val="10.0"/>
      <color rgb="FFFFFFFF"/>
      <name val="Arial"/>
    </font>
    <font>
      <b/>
      <sz val="10.0"/>
      <color rgb="FF161A17"/>
      <name val="Arial"/>
    </font>
    <font>
      <sz val="11.0"/>
      <color theme="1"/>
      <name val="Calibri"/>
    </font>
    <font>
      <b/>
      <sz val="11.0"/>
      <color rgb="FF0000FF"/>
      <name val="Arial"/>
    </font>
    <font>
      <b/>
      <sz val="9.0"/>
      <color rgb="FF4A524C"/>
      <name val="Arial"/>
    </font>
    <font>
      <sz val="10.0"/>
      <color rgb="FF161A17"/>
      <name val="Arial"/>
    </font>
    <font>
      <b/>
      <sz val="12.0"/>
      <color rgb="FF3E6B72"/>
      <name val="Arial"/>
    </font>
    <font>
      <b/>
      <sz val="14.0"/>
      <color rgb="FFE7381C"/>
      <name val="Arial"/>
    </font>
    <font>
      <b/>
      <sz val="10.0"/>
      <color rgb="FFE7381C"/>
      <name val="Arial"/>
    </font>
    <font>
      <b/>
      <sz val="13.0"/>
      <color rgb="FFE7381C"/>
      <name val="Arial"/>
    </font>
    <font>
      <sz val="10.0"/>
      <color rgb="FF0000FF"/>
      <name val="Arial"/>
    </font>
    <font>
      <b/>
      <sz val="10.0"/>
      <color rgb="FF3E6B72"/>
      <name val="Arial"/>
    </font>
    <font>
      <i/>
      <sz val="10.0"/>
      <color rgb="FF4A524C"/>
      <name val="Arial"/>
    </font>
    <font>
      <i/>
      <sz val="8.0"/>
      <color rgb="FF7A827C"/>
      <name val="Arial"/>
    </font>
    <font>
      <sz val="10.0"/>
      <color rgb="FF3E6B72"/>
      <name val="Arial"/>
    </font>
    <font>
      <b/>
      <sz val="12.0"/>
      <color rgb="FFFFFFFF"/>
      <name val="Arial"/>
    </font>
    <font>
      <b/>
      <sz val="12.0"/>
      <color rgb="FF161A17"/>
      <name val="Arial"/>
    </font>
    <font>
      <b/>
      <sz val="16.0"/>
      <color rgb="FFE7381C"/>
      <name val="Arial"/>
    </font>
    <font>
      <b/>
      <sz val="11.0"/>
      <color rgb="FF161A17"/>
      <name val="Arial"/>
    </font>
    <font>
      <b/>
      <sz val="11.0"/>
      <color rgb="FF3E6B72"/>
      <name val="Arial"/>
    </font>
    <font>
      <b/>
      <sz val="11.0"/>
      <color rgb="FFE7381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61A17"/>
        <bgColor rgb="FF161A17"/>
      </patternFill>
    </fill>
    <fill>
      <patternFill patternType="solid">
        <fgColor rgb="FF3E6B72"/>
        <bgColor rgb="FF3E6B72"/>
      </patternFill>
    </fill>
    <fill>
      <patternFill patternType="solid">
        <fgColor rgb="FFF3EAD0"/>
        <bgColor rgb="FFF3EAD0"/>
      </patternFill>
    </fill>
    <fill>
      <patternFill patternType="solid">
        <fgColor rgb="FFFFF3B0"/>
        <bgColor rgb="FFFFF3B0"/>
      </patternFill>
    </fill>
    <fill>
      <patternFill patternType="solid">
        <fgColor rgb="FFE1E5DB"/>
        <bgColor rgb="FFE1E5DB"/>
      </patternFill>
    </fill>
    <fill>
      <patternFill patternType="solid">
        <fgColor rgb="FFDDE8E8"/>
        <bgColor rgb="FFDDE8E8"/>
      </patternFill>
    </fill>
    <fill>
      <patternFill patternType="solid">
        <fgColor rgb="FFFBE6E0"/>
        <bgColor rgb="FFFBE6E0"/>
      </patternFill>
    </fill>
    <fill>
      <patternFill patternType="solid">
        <fgColor rgb="FFFFEB8A"/>
        <bgColor rgb="FFFFEB8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3D8CD"/>
      </left>
      <right style="thin">
        <color rgb="FFD3D8CD"/>
      </right>
      <top style="thin">
        <color rgb="FFD3D8CD"/>
      </top>
      <bottom style="thin">
        <color rgb="FFD3D8C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ill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0"/>
    </xf>
    <xf borderId="4" fillId="3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center" shrinkToFit="0" vertical="center" wrapText="0"/>
    </xf>
    <xf borderId="5" fillId="5" fontId="10" numFmtId="0" xfId="0" applyAlignment="1" applyBorder="1" applyFill="1" applyFont="1">
      <alignment horizontal="left" shrinkToFit="0" vertical="center" wrapText="0"/>
    </xf>
    <xf borderId="0" fillId="0" fontId="11" numFmtId="0" xfId="0" applyAlignment="1" applyFont="1">
      <alignment horizontal="left" shrinkToFit="0" vertical="center" wrapText="1"/>
    </xf>
    <xf borderId="1" fillId="6" fontId="12" numFmtId="0" xfId="0" applyAlignment="1" applyBorder="1" applyFill="1" applyFont="1">
      <alignment horizontal="left" shrinkToFit="0" vertical="center" wrapText="1"/>
    </xf>
    <xf borderId="5" fillId="5" fontId="10" numFmtId="164" xfId="0" applyAlignment="1" applyBorder="1" applyFill="1" applyFont="1" applyNumberFormat="1">
      <alignment horizontal="right" shrinkToFit="0" vertical="center" wrapText="0"/>
    </xf>
    <xf borderId="5" fillId="5" fontId="10" numFmtId="1" xfId="0" applyAlignment="1" applyBorder="1" applyFill="1" applyFont="1" applyNumberFormat="1">
      <alignment horizontal="center" shrinkToFit="0" vertical="center" wrapText="0"/>
    </xf>
    <xf borderId="4" fillId="0" fontId="9" numFmtId="0" xfId="0" applyAlignment="1" applyBorder="1" applyFont="1">
      <alignment horizontal="left" shrinkToFit="0" vertical="center" wrapText="1"/>
    </xf>
    <xf borderId="4" fillId="4" fontId="9" numFmtId="164" xfId="0" applyAlignment="1" applyBorder="1" applyFill="1" applyFont="1" applyNumberFormat="1">
      <alignment horizontal="right" shrinkToFit="0" vertical="center" wrapText="0"/>
    </xf>
    <xf borderId="4" fillId="0" fontId="13" numFmtId="164" xfId="0" applyAlignment="1" applyBorder="1" applyFont="1" applyNumberFormat="1">
      <alignment horizontal="right" readingOrder="0" shrinkToFit="0" vertical="center" wrapText="0"/>
    </xf>
    <xf borderId="5" fillId="7" fontId="10" numFmtId="165" xfId="0" applyAlignment="1" applyBorder="1" applyFill="1" applyFont="1" applyNumberFormat="1">
      <alignment horizontal="center" shrinkToFit="0" vertical="center" wrapText="0"/>
    </xf>
    <xf borderId="4" fillId="0" fontId="13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1"/>
    </xf>
    <xf borderId="5" fillId="7" fontId="10" numFmtId="164" xfId="0" applyAlignment="1" applyBorder="1" applyFill="1" applyFont="1" applyNumberFormat="1">
      <alignment horizontal="right" shrinkToFit="0" vertical="center" wrapText="0"/>
    </xf>
    <xf borderId="0" fillId="0" fontId="15" numFmtId="0" xfId="0" applyAlignment="1" applyFont="1">
      <alignment horizontal="left" shrinkToFit="0" vertical="center" wrapText="1"/>
    </xf>
    <xf borderId="4" fillId="0" fontId="16" numFmtId="165" xfId="0" applyAlignment="1" applyBorder="1" applyFont="1" applyNumberFormat="1">
      <alignment horizontal="center" shrinkToFit="0" vertical="center" wrapText="0"/>
    </xf>
    <xf borderId="5" fillId="8" fontId="10" numFmtId="164" xfId="0" applyAlignment="1" applyBorder="1" applyFill="1" applyFont="1" applyNumberFormat="1">
      <alignment horizontal="right" shrinkToFit="0" vertical="center" wrapText="0"/>
    </xf>
    <xf borderId="0" fillId="0" fontId="17" numFmtId="0" xfId="0" applyAlignment="1" applyFont="1">
      <alignment horizontal="left" shrinkToFit="0" vertical="center" wrapText="1"/>
    </xf>
    <xf borderId="4" fillId="0" fontId="18" numFmtId="165" xfId="0" applyAlignment="1" applyBorder="1" applyFont="1" applyNumberFormat="1">
      <alignment horizontal="center" shrinkToFit="0" vertical="center" wrapText="0"/>
    </xf>
    <xf borderId="4" fillId="4" fontId="16" numFmtId="164" xfId="0" applyAlignment="1" applyBorder="1" applyFill="1" applyFont="1" applyNumberFormat="1">
      <alignment horizontal="right" shrinkToFit="0" vertical="center" wrapText="0"/>
    </xf>
    <xf borderId="5" fillId="9" fontId="10" numFmtId="164" xfId="0" applyAlignment="1" applyBorder="1" applyFill="1" applyFont="1" applyNumberFormat="1">
      <alignment horizontal="right" shrinkToFit="0" vertical="center" wrapText="0"/>
    </xf>
    <xf borderId="4" fillId="4" fontId="19" numFmtId="164" xfId="0" applyAlignment="1" applyBorder="1" applyFill="1" applyFont="1" applyNumberFormat="1">
      <alignment horizontal="right" shrinkToFit="0" vertical="center" wrapText="0"/>
    </xf>
    <xf borderId="4" fillId="0" fontId="9" numFmtId="165" xfId="0" applyAlignment="1" applyBorder="1" applyFont="1" applyNumberFormat="1">
      <alignment horizontal="center" shrinkToFit="0" vertical="center" wrapText="0"/>
    </xf>
    <xf borderId="0" fillId="0" fontId="20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left" shrinkToFit="0" vertical="center" wrapText="1"/>
    </xf>
    <xf borderId="4" fillId="0" fontId="13" numFmtId="0" xfId="0" applyAlignment="1" applyBorder="1" applyFont="1">
      <alignment horizontal="center" readingOrder="0" shrinkToFit="0" vertical="center" wrapText="0"/>
    </xf>
    <xf borderId="4" fillId="0" fontId="13" numFmtId="164" xfId="0" applyAlignment="1" applyBorder="1" applyFont="1" applyNumberFormat="1">
      <alignment horizontal="right" shrinkToFit="0" vertical="center" wrapText="0"/>
    </xf>
    <xf borderId="4" fillId="0" fontId="9" numFmtId="164" xfId="0" applyAlignment="1" applyBorder="1" applyFont="1" applyNumberFormat="1">
      <alignment horizontal="right" shrinkToFit="0" vertical="center" wrapText="0"/>
    </xf>
    <xf borderId="4" fillId="0" fontId="22" numFmtId="164" xfId="0" applyAlignment="1" applyBorder="1" applyFont="1" applyNumberFormat="1">
      <alignment horizontal="right" shrinkToFit="0" vertical="center" wrapText="0"/>
    </xf>
    <xf borderId="0" fillId="0" fontId="9" numFmtId="0" xfId="0" applyAlignment="1" applyFont="1">
      <alignment shrinkToFit="0" vertical="bottom" wrapText="0"/>
    </xf>
    <xf borderId="5" fillId="0" fontId="9" numFmtId="164" xfId="0" applyAlignment="1" applyBorder="1" applyFont="1" applyNumberFormat="1">
      <alignment horizontal="right" shrinkToFit="0" vertical="center" wrapText="0"/>
    </xf>
    <xf borderId="1" fillId="2" fontId="23" numFmtId="0" xfId="0" applyAlignment="1" applyBorder="1" applyFill="1" applyFont="1">
      <alignment horizontal="left" shrinkToFit="0" vertical="center" wrapText="0"/>
    </xf>
    <xf borderId="0" fillId="0" fontId="24" numFmtId="0" xfId="0" applyAlignment="1" applyFont="1">
      <alignment shrinkToFit="0" vertical="bottom" wrapText="0"/>
    </xf>
    <xf borderId="5" fillId="8" fontId="25" numFmtId="165" xfId="0" applyAlignment="1" applyBorder="1" applyFill="1" applyFont="1" applyNumberFormat="1">
      <alignment horizontal="center" shrinkToFit="0" vertical="center" wrapText="0"/>
    </xf>
    <xf borderId="0" fillId="0" fontId="13" numFmtId="0" xfId="0" applyAlignment="1" applyFont="1">
      <alignment readingOrder="0" shrinkToFit="0" vertical="bottom" wrapText="0"/>
    </xf>
    <xf borderId="5" fillId="7" fontId="11" numFmtId="165" xfId="0" applyAlignment="1" applyBorder="1" applyFill="1" applyFont="1" applyNumberForma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  <xf borderId="0" fillId="0" fontId="26" numFmtId="166" xfId="0" applyAlignment="1" applyFont="1" applyNumberFormat="1">
      <alignment horizontal="center" shrinkToFit="0" vertical="center" wrapText="0"/>
    </xf>
    <xf borderId="5" fillId="5" fontId="11" numFmtId="164" xfId="0" applyAlignment="1" applyBorder="1" applyFill="1" applyFont="1" applyNumberFormat="1">
      <alignment horizontal="right" shrinkToFit="0" vertical="center" wrapText="0"/>
    </xf>
    <xf borderId="0" fillId="0" fontId="27" numFmtId="165" xfId="0" applyAlignment="1" applyFont="1" applyNumberFormat="1">
      <alignment horizontal="center" shrinkToFit="0" vertical="center" wrapText="0"/>
    </xf>
    <xf borderId="5" fillId="8" fontId="28" numFmtId="164" xfId="0" applyAlignment="1" applyBorder="1" applyFill="1" applyFont="1" applyNumberFormat="1">
      <alignment horizontal="right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16.0"/>
    <col customWidth="1" min="3" max="3" width="17.0"/>
    <col customWidth="1" min="4" max="4" width="9.0"/>
    <col customWidth="1" min="5" max="5" width="14.0"/>
    <col customWidth="1" min="6" max="6" width="16.0"/>
    <col customWidth="1" min="7" max="7" width="12.0"/>
    <col customWidth="1" min="8" max="26" width="8.71"/>
  </cols>
  <sheetData>
    <row r="1" ht="33.75" customHeight="1">
      <c r="A1" s="2" t="s">
        <v>2</v>
      </c>
      <c r="B1" s="3"/>
      <c r="C1" s="3"/>
      <c r="D1" s="3"/>
      <c r="E1" s="3"/>
      <c r="F1" s="3"/>
      <c r="G1" s="4"/>
      <c r="H1" s="6" t="s">
        <v>5</v>
      </c>
    </row>
    <row r="2" ht="30.0" customHeight="1">
      <c r="A2" s="9" t="s">
        <v>8</v>
      </c>
      <c r="B2" s="3"/>
      <c r="C2" s="3"/>
      <c r="D2" s="3"/>
      <c r="E2" s="3"/>
      <c r="F2" s="3"/>
      <c r="G2" s="4"/>
      <c r="H2" s="6" t="s">
        <v>19</v>
      </c>
    </row>
    <row r="4" ht="25.5" customHeight="1">
      <c r="A4" s="14" t="s">
        <v>20</v>
      </c>
      <c r="B4" s="3"/>
      <c r="C4" s="3"/>
      <c r="D4" s="3"/>
      <c r="E4" s="3"/>
      <c r="F4" s="3"/>
      <c r="G4" s="4"/>
    </row>
    <row r="6" ht="43.5" customHeight="1">
      <c r="A6" s="8" t="s">
        <v>22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8" t="s">
        <v>29</v>
      </c>
    </row>
    <row r="7">
      <c r="A7" s="17" t="s">
        <v>30</v>
      </c>
      <c r="B7" s="19">
        <v>11500.0</v>
      </c>
      <c r="C7" s="19">
        <v>7000.0</v>
      </c>
      <c r="D7" s="21">
        <v>5.0</v>
      </c>
      <c r="E7" s="25">
        <f t="shared" ref="E7:E12" si="1">IF(AND(C7&gt;0,D7&gt;0),(B7/C7)^(1/D7)-1,"")</f>
        <v>0.1043836287</v>
      </c>
      <c r="F7" s="28">
        <v>0.04</v>
      </c>
      <c r="G7" s="32">
        <f t="shared" ref="G7:G12" si="2">IF(AND(C7&gt;0,D7&gt;0),(B7/C7)^(1/D7)-1,F7)</f>
        <v>0.1043836287</v>
      </c>
    </row>
    <row r="8">
      <c r="A8" s="17" t="s">
        <v>10</v>
      </c>
      <c r="B8" s="19">
        <v>25000.0</v>
      </c>
      <c r="C8" s="19">
        <v>18000.0</v>
      </c>
      <c r="D8" s="35">
        <v>3.0</v>
      </c>
      <c r="E8" s="25">
        <f t="shared" si="1"/>
        <v>0.1157215835</v>
      </c>
      <c r="F8" s="28">
        <v>0.05</v>
      </c>
      <c r="G8" s="32">
        <f t="shared" si="2"/>
        <v>0.1157215835</v>
      </c>
    </row>
    <row r="9">
      <c r="A9" s="17" t="s">
        <v>38</v>
      </c>
      <c r="B9" s="36">
        <v>0.0</v>
      </c>
      <c r="C9" s="36"/>
      <c r="D9" s="21"/>
      <c r="E9" s="25" t="str">
        <f t="shared" si="1"/>
        <v/>
      </c>
      <c r="F9" s="28">
        <v>0.0</v>
      </c>
      <c r="G9" s="32">
        <f t="shared" si="2"/>
        <v>0</v>
      </c>
    </row>
    <row r="10">
      <c r="A10" s="17" t="s">
        <v>39</v>
      </c>
      <c r="B10" s="19">
        <v>30000.0</v>
      </c>
      <c r="C10" s="19">
        <v>23000.0</v>
      </c>
      <c r="D10" s="35">
        <v>3.0</v>
      </c>
      <c r="E10" s="25">
        <f t="shared" si="1"/>
        <v>0.09260824362</v>
      </c>
      <c r="F10" s="28">
        <v>0.1</v>
      </c>
      <c r="G10" s="32">
        <f t="shared" si="2"/>
        <v>0.09260824362</v>
      </c>
    </row>
    <row r="11">
      <c r="A11" s="17" t="s">
        <v>40</v>
      </c>
      <c r="B11" s="36">
        <v>9000.0</v>
      </c>
      <c r="C11" s="36">
        <v>4700.0</v>
      </c>
      <c r="D11" s="35">
        <v>3.0</v>
      </c>
      <c r="E11" s="25">
        <f t="shared" si="1"/>
        <v>0.2417901686</v>
      </c>
      <c r="F11" s="28">
        <v>0.14</v>
      </c>
      <c r="G11" s="32">
        <f t="shared" si="2"/>
        <v>0.2417901686</v>
      </c>
    </row>
    <row r="12">
      <c r="A12" s="17" t="s">
        <v>41</v>
      </c>
      <c r="B12" s="19">
        <v>13000.0</v>
      </c>
      <c r="C12" s="19">
        <v>10000.0</v>
      </c>
      <c r="D12" s="35">
        <v>4.0</v>
      </c>
      <c r="E12" s="25">
        <f t="shared" si="1"/>
        <v>0.06778997237</v>
      </c>
      <c r="F12" s="28">
        <v>0.05</v>
      </c>
      <c r="G12" s="32">
        <f t="shared" si="2"/>
        <v>0.06778997237</v>
      </c>
    </row>
    <row r="13">
      <c r="A13" s="39" t="s">
        <v>42</v>
      </c>
      <c r="B13" s="40">
        <f>SUM(B7:B12)</f>
        <v>88500</v>
      </c>
    </row>
    <row r="15" ht="24.0" customHeight="1">
      <c r="A15" s="41" t="s">
        <v>43</v>
      </c>
      <c r="B15" s="3"/>
      <c r="C15" s="3"/>
      <c r="D15" s="3"/>
      <c r="E15" s="3"/>
      <c r="F15" s="3"/>
      <c r="G15" s="4"/>
    </row>
    <row r="16" ht="25.5" customHeight="1">
      <c r="A16" s="42" t="s">
        <v>44</v>
      </c>
      <c r="B16" s="43">
        <f>IFERROR(SUMPRODUCT(B7:B12,G7:G12)/SUM(B7:B12),0)</f>
        <v>0.1121929919</v>
      </c>
    </row>
    <row r="17">
      <c r="A17" s="44" t="s">
        <v>45</v>
      </c>
      <c r="B17" s="45">
        <v>0.06</v>
      </c>
    </row>
    <row r="18">
      <c r="A18" s="46" t="s">
        <v>46</v>
      </c>
      <c r="B18" s="47">
        <f>B16-B17</f>
        <v>0.05219299191</v>
      </c>
    </row>
    <row r="19" ht="15.75" customHeight="1">
      <c r="A19" s="33"/>
    </row>
    <row r="20" ht="15.75" customHeight="1"/>
    <row r="21" ht="24.0" customHeight="1">
      <c r="A21" s="41" t="s">
        <v>47</v>
      </c>
      <c r="B21" s="3"/>
      <c r="C21" s="3"/>
      <c r="D21" s="3"/>
      <c r="E21" s="3"/>
      <c r="F21" s="3"/>
      <c r="G21" s="4"/>
    </row>
    <row r="22" ht="15.75" customHeight="1">
      <c r="A22" s="46" t="s">
        <v>48</v>
      </c>
      <c r="B22" s="48">
        <v>20000.0</v>
      </c>
    </row>
    <row r="23" ht="15.75" customHeight="1">
      <c r="A23" s="46" t="s">
        <v>49</v>
      </c>
      <c r="B23" s="45">
        <v>0.1</v>
      </c>
    </row>
    <row r="24" ht="15.75" customHeight="1">
      <c r="A24" s="39" t="s">
        <v>50</v>
      </c>
      <c r="B24" s="49">
        <f>B16</f>
        <v>0.1121929919</v>
      </c>
    </row>
    <row r="25" ht="15.75" customHeight="1">
      <c r="A25" s="39" t="s">
        <v>51</v>
      </c>
      <c r="B25" s="50">
        <f>B22*B16</f>
        <v>2243.859838</v>
      </c>
    </row>
    <row r="26" ht="15.75" customHeight="1">
      <c r="A26" s="33" t="str">
        <f>IF(B23&lt;B16-0.001,"Your step-up is slower than your costs rise — your investing is quietly falling behind your own life.","Your step-up keeps pace with your inflation — that is the idea.")</f>
        <v>Your step-up is slower than your costs rise — your investing is quietly falling behind your own life.</v>
      </c>
    </row>
    <row r="27" ht="27.75" customHeight="1">
      <c r="A27" s="34" t="s">
        <v>52</v>
      </c>
    </row>
    <row r="28" ht="15.75" customHeight="1"/>
    <row r="29" ht="15.75" customHeight="1">
      <c r="A29" s="7" t="s">
        <v>53</v>
      </c>
      <c r="B29" s="3"/>
      <c r="C29" s="3"/>
      <c r="D29" s="3"/>
      <c r="E29" s="3"/>
      <c r="F29" s="3"/>
      <c r="G29" s="4"/>
    </row>
    <row r="30" ht="24.0" customHeight="1">
      <c r="A30" s="5" t="s">
        <v>54</v>
      </c>
    </row>
    <row r="31" ht="24.0" customHeight="1">
      <c r="A31" s="5" t="s">
        <v>55</v>
      </c>
    </row>
    <row r="32" ht="24.0" customHeight="1">
      <c r="A32" s="51" t="s">
        <v>56</v>
      </c>
    </row>
    <row r="33" ht="24.0" customHeight="1">
      <c r="A33" s="5" t="s">
        <v>57</v>
      </c>
    </row>
    <row r="34" ht="24.0" customHeight="1">
      <c r="A34" s="5" t="s">
        <v>58</v>
      </c>
    </row>
    <row r="35" ht="15.75" customHeight="1"/>
    <row r="36" ht="27.75" customHeight="1">
      <c r="A36" s="52" t="s">
        <v>59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7">
    <mergeCell ref="A1:G1"/>
    <mergeCell ref="H1:N1"/>
    <mergeCell ref="A2:G2"/>
    <mergeCell ref="H2:N2"/>
    <mergeCell ref="A4:G4"/>
    <mergeCell ref="A15:G15"/>
    <mergeCell ref="A19:G19"/>
    <mergeCell ref="A33:G33"/>
    <mergeCell ref="A34:G34"/>
    <mergeCell ref="A36:G36"/>
    <mergeCell ref="A21:G21"/>
    <mergeCell ref="A26:G26"/>
    <mergeCell ref="A27:G27"/>
    <mergeCell ref="A29:G29"/>
    <mergeCell ref="A30:G30"/>
    <mergeCell ref="A31:G31"/>
    <mergeCell ref="A32:G3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14.0"/>
    <col customWidth="1" min="3" max="4" width="13.0"/>
    <col customWidth="1" min="5" max="5" width="15.0"/>
    <col customWidth="1" min="6" max="7" width="14.0"/>
    <col customWidth="1" min="8" max="9" width="16.0"/>
    <col customWidth="1" min="10" max="26" width="8.71"/>
  </cols>
  <sheetData>
    <row r="1" ht="31.5" customHeight="1">
      <c r="A1" s="1" t="s">
        <v>0</v>
      </c>
      <c r="B1" s="3"/>
      <c r="C1" s="3"/>
      <c r="D1" s="3"/>
      <c r="E1" s="3"/>
      <c r="F1" s="3"/>
      <c r="G1" s="3"/>
      <c r="H1" s="3"/>
      <c r="I1" s="4"/>
    </row>
    <row r="2" ht="25.5" customHeight="1">
      <c r="A2" s="5" t="s">
        <v>4</v>
      </c>
    </row>
    <row r="4" ht="31.5" customHeight="1">
      <c r="A4" s="8" t="s">
        <v>7</v>
      </c>
      <c r="B4" s="8" t="s">
        <v>9</v>
      </c>
      <c r="C4" s="8" t="s">
        <v>10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8" t="s">
        <v>17</v>
      </c>
    </row>
    <row r="5">
      <c r="A5" s="11">
        <v>0.0</v>
      </c>
      <c r="B5" s="18">
        <f>'My Inflation'!$B$7*(1+'My Inflation'!$G$7)^$A5</f>
        <v>11500</v>
      </c>
      <c r="C5" s="18">
        <f>'My Inflation'!$B$8*(1+'My Inflation'!$G$8)^$A5</f>
        <v>25000</v>
      </c>
      <c r="D5" s="18">
        <f>'My Inflation'!$B$9*(1+'My Inflation'!$G$9)^$A5</f>
        <v>0</v>
      </c>
      <c r="E5" s="18">
        <f>'My Inflation'!$B$10*(1+'My Inflation'!$G$10)^$A5</f>
        <v>30000</v>
      </c>
      <c r="F5" s="18">
        <f>'My Inflation'!$B$11*(1+'My Inflation'!$G$11)^$A5</f>
        <v>9000</v>
      </c>
      <c r="G5" s="18">
        <f>'My Inflation'!$B$12*(1+'My Inflation'!$G$12)^$A5</f>
        <v>13000</v>
      </c>
      <c r="H5" s="29">
        <f t="shared" ref="H5:H35" si="1">SUM(B5:G5)</f>
        <v>88500</v>
      </c>
      <c r="I5" s="31">
        <f>'My Inflation'!$B$13*(1+'My Inflation'!$B$17)^$A5</f>
        <v>88500</v>
      </c>
    </row>
    <row r="6">
      <c r="A6" s="21">
        <v>1.0</v>
      </c>
      <c r="B6" s="36">
        <f>'My Inflation'!$B$7*(1+'My Inflation'!$G$7)^$A6</f>
        <v>12700.41173</v>
      </c>
      <c r="C6" s="36">
        <f>'My Inflation'!$B$8*(1+'My Inflation'!$G$8)^$A6</f>
        <v>27893.03959</v>
      </c>
      <c r="D6" s="36">
        <f>'My Inflation'!$B$9*(1+'My Inflation'!$G$9)^$A6</f>
        <v>0</v>
      </c>
      <c r="E6" s="36">
        <f>'My Inflation'!$B$10*(1+'My Inflation'!$G$10)^$A6</f>
        <v>32778.24731</v>
      </c>
      <c r="F6" s="36">
        <f>'My Inflation'!$B$11*(1+'My Inflation'!$G$11)^$A6</f>
        <v>11176.11152</v>
      </c>
      <c r="G6" s="36">
        <f>'My Inflation'!$B$12*(1+'My Inflation'!$G$12)^$A6</f>
        <v>13881.26964</v>
      </c>
      <c r="H6" s="37">
        <f t="shared" si="1"/>
        <v>98429.07978</v>
      </c>
      <c r="I6" s="38">
        <f>'My Inflation'!$B$13*(1+'My Inflation'!$B$17)^$A6</f>
        <v>93810</v>
      </c>
    </row>
    <row r="7">
      <c r="A7" s="21">
        <v>2.0</v>
      </c>
      <c r="B7" s="36">
        <f>'My Inflation'!$B$7*(1+'My Inflation'!$G$7)^$A7</f>
        <v>14026.12679</v>
      </c>
      <c r="C7" s="36">
        <f>'My Inflation'!$B$8*(1+'My Inflation'!$G$8)^$A7</f>
        <v>31120.8663</v>
      </c>
      <c r="D7" s="36">
        <f>'My Inflation'!$B$9*(1+'My Inflation'!$G$9)^$A7</f>
        <v>0</v>
      </c>
      <c r="E7" s="36">
        <f>'My Inflation'!$B$10*(1+'My Inflation'!$G$10)^$A7</f>
        <v>35813.78322</v>
      </c>
      <c r="F7" s="36">
        <f>'My Inflation'!$B$11*(1+'My Inflation'!$G$11)^$A7</f>
        <v>13878.38541</v>
      </c>
      <c r="G7" s="36">
        <f>'My Inflation'!$B$12*(1+'My Inflation'!$G$12)^$A7</f>
        <v>14822.28053</v>
      </c>
      <c r="H7" s="37">
        <f t="shared" si="1"/>
        <v>109661.4422</v>
      </c>
      <c r="I7" s="38">
        <f>'My Inflation'!$B$13*(1+'My Inflation'!$B$17)^$A7</f>
        <v>99438.6</v>
      </c>
    </row>
    <row r="8">
      <c r="A8" s="21">
        <v>3.0</v>
      </c>
      <c r="B8" s="36">
        <f>'My Inflation'!$B$7*(1+'My Inflation'!$G$7)^$A8</f>
        <v>15490.2248</v>
      </c>
      <c r="C8" s="36">
        <f>'My Inflation'!$B$8*(1+'My Inflation'!$G$8)^$A8</f>
        <v>34722.22222</v>
      </c>
      <c r="D8" s="36">
        <f>'My Inflation'!$B$9*(1+'My Inflation'!$G$9)^$A8</f>
        <v>0</v>
      </c>
      <c r="E8" s="36">
        <f>'My Inflation'!$B$10*(1+'My Inflation'!$G$10)^$A8</f>
        <v>39130.43478</v>
      </c>
      <c r="F8" s="36">
        <f>'My Inflation'!$B$11*(1+'My Inflation'!$G$11)^$A8</f>
        <v>17234.04255</v>
      </c>
      <c r="G8" s="36">
        <f>'My Inflation'!$B$12*(1+'My Inflation'!$G$12)^$A8</f>
        <v>15827.08251</v>
      </c>
      <c r="H8" s="37">
        <f t="shared" si="1"/>
        <v>122404.0069</v>
      </c>
      <c r="I8" s="38">
        <f>'My Inflation'!$B$13*(1+'My Inflation'!$B$17)^$A8</f>
        <v>105404.916</v>
      </c>
    </row>
    <row r="9">
      <c r="A9" s="21">
        <v>4.0</v>
      </c>
      <c r="B9" s="36">
        <f>'My Inflation'!$B$7*(1+'My Inflation'!$G$7)^$A9</f>
        <v>17107.15068</v>
      </c>
      <c r="C9" s="36">
        <f>'My Inflation'!$B$8*(1+'My Inflation'!$G$8)^$A9</f>
        <v>38740.33276</v>
      </c>
      <c r="D9" s="36">
        <f>'My Inflation'!$B$9*(1+'My Inflation'!$G$9)^$A9</f>
        <v>0</v>
      </c>
      <c r="E9" s="36">
        <f>'My Inflation'!$B$10*(1+'My Inflation'!$G$10)^$A9</f>
        <v>42754.23562</v>
      </c>
      <c r="F9" s="36">
        <f>'My Inflation'!$B$11*(1+'My Inflation'!$G$11)^$A9</f>
        <v>21401.06461</v>
      </c>
      <c r="G9" s="36">
        <f>'My Inflation'!$B$12*(1+'My Inflation'!$G$12)^$A9</f>
        <v>16900</v>
      </c>
      <c r="H9" s="37">
        <f t="shared" si="1"/>
        <v>136902.7837</v>
      </c>
      <c r="I9" s="38">
        <f>'My Inflation'!$B$13*(1+'My Inflation'!$B$17)^$A9</f>
        <v>111729.211</v>
      </c>
    </row>
    <row r="10">
      <c r="A10" s="11">
        <v>5.0</v>
      </c>
      <c r="B10" s="18">
        <f>'My Inflation'!$B$7*(1+'My Inflation'!$G$7)^$A10</f>
        <v>18892.85714</v>
      </c>
      <c r="C10" s="18">
        <f>'My Inflation'!$B$8*(1+'My Inflation'!$G$8)^$A10</f>
        <v>43223.42541</v>
      </c>
      <c r="D10" s="18">
        <f>'My Inflation'!$B$9*(1+'My Inflation'!$G$9)^$A10</f>
        <v>0</v>
      </c>
      <c r="E10" s="18">
        <f>'My Inflation'!$B$10*(1+'My Inflation'!$G$10)^$A10</f>
        <v>46713.63029</v>
      </c>
      <c r="F10" s="18">
        <f>'My Inflation'!$B$11*(1+'My Inflation'!$G$11)^$A10</f>
        <v>26575.63163</v>
      </c>
      <c r="G10" s="18">
        <f>'My Inflation'!$B$12*(1+'My Inflation'!$G$12)^$A10</f>
        <v>18045.65053</v>
      </c>
      <c r="H10" s="29">
        <f t="shared" si="1"/>
        <v>153451.195</v>
      </c>
      <c r="I10" s="31">
        <f>'My Inflation'!$B$13*(1+'My Inflation'!$B$17)^$A10</f>
        <v>118432.9636</v>
      </c>
    </row>
    <row r="11">
      <c r="A11" s="21">
        <v>6.0</v>
      </c>
      <c r="B11" s="36">
        <f>'My Inflation'!$B$7*(1+'My Inflation'!$G$7)^$A11</f>
        <v>20864.96213</v>
      </c>
      <c r="C11" s="36">
        <f>'My Inflation'!$B$8*(1+'My Inflation'!$G$8)^$A11</f>
        <v>48225.30864</v>
      </c>
      <c r="D11" s="36">
        <f>'My Inflation'!$B$9*(1+'My Inflation'!$G$9)^$A11</f>
        <v>0</v>
      </c>
      <c r="E11" s="36">
        <f>'My Inflation'!$B$10*(1+'My Inflation'!$G$10)^$A11</f>
        <v>51039.69754</v>
      </c>
      <c r="F11" s="36">
        <f>'My Inflation'!$B$11*(1+'My Inflation'!$G$11)^$A11</f>
        <v>33001.35808</v>
      </c>
      <c r="G11" s="36">
        <f>'My Inflation'!$B$12*(1+'My Inflation'!$G$12)^$A11</f>
        <v>19268.96468</v>
      </c>
      <c r="H11" s="37">
        <f t="shared" si="1"/>
        <v>172400.2911</v>
      </c>
      <c r="I11" s="38">
        <f>'My Inflation'!$B$13*(1+'My Inflation'!$B$17)^$A11</f>
        <v>125538.9414</v>
      </c>
    </row>
    <row r="12">
      <c r="A12" s="21">
        <v>7.0</v>
      </c>
      <c r="B12" s="36">
        <f>'My Inflation'!$B$7*(1+'My Inflation'!$G$7)^$A12</f>
        <v>23042.92259</v>
      </c>
      <c r="C12" s="36">
        <f>'My Inflation'!$B$8*(1+'My Inflation'!$G$8)^$A12</f>
        <v>53806.01772</v>
      </c>
      <c r="D12" s="36">
        <f>'My Inflation'!$B$9*(1+'My Inflation'!$G$9)^$A12</f>
        <v>0</v>
      </c>
      <c r="E12" s="36">
        <f>'My Inflation'!$B$10*(1+'My Inflation'!$G$10)^$A12</f>
        <v>55766.39429</v>
      </c>
      <c r="F12" s="36">
        <f>'My Inflation'!$B$11*(1+'My Inflation'!$G$11)^$A12</f>
        <v>40980.76202</v>
      </c>
      <c r="G12" s="36">
        <f>'My Inflation'!$B$12*(1+'My Inflation'!$G$12)^$A12</f>
        <v>20575.20727</v>
      </c>
      <c r="H12" s="37">
        <f t="shared" si="1"/>
        <v>194171.3039</v>
      </c>
      <c r="I12" s="38">
        <f>'My Inflation'!$B$13*(1+'My Inflation'!$B$17)^$A12</f>
        <v>133071.2779</v>
      </c>
    </row>
    <row r="13">
      <c r="A13" s="21">
        <v>8.0</v>
      </c>
      <c r="B13" s="36">
        <f>'My Inflation'!$B$7*(1+'My Inflation'!$G$7)^$A13</f>
        <v>25448.22646</v>
      </c>
      <c r="C13" s="36">
        <f>'My Inflation'!$B$8*(1+'My Inflation'!$G$8)^$A13</f>
        <v>60032.53529</v>
      </c>
      <c r="D13" s="36">
        <f>'My Inflation'!$B$9*(1+'My Inflation'!$G$9)^$A13</f>
        <v>0</v>
      </c>
      <c r="E13" s="36">
        <f>'My Inflation'!$B$10*(1+'My Inflation'!$G$10)^$A13</f>
        <v>60930.82212</v>
      </c>
      <c r="F13" s="36">
        <f>'My Inflation'!$B$11*(1+'My Inflation'!$G$11)^$A13</f>
        <v>50889.50737</v>
      </c>
      <c r="G13" s="36">
        <f>'My Inflation'!$B$12*(1+'My Inflation'!$G$12)^$A13</f>
        <v>21970</v>
      </c>
      <c r="H13" s="37">
        <f t="shared" si="1"/>
        <v>219271.0912</v>
      </c>
      <c r="I13" s="38">
        <f>'My Inflation'!$B$13*(1+'My Inflation'!$B$17)^$A13</f>
        <v>141055.5546</v>
      </c>
    </row>
    <row r="14">
      <c r="A14" s="21">
        <v>9.0</v>
      </c>
      <c r="B14" s="36">
        <f>'My Inflation'!$B$7*(1+'My Inflation'!$G$7)^$A14</f>
        <v>28104.60469</v>
      </c>
      <c r="C14" s="36">
        <f>'My Inflation'!$B$8*(1+'My Inflation'!$G$8)^$A14</f>
        <v>66979.59534</v>
      </c>
      <c r="D14" s="36">
        <f>'My Inflation'!$B$9*(1+'My Inflation'!$G$9)^$A14</f>
        <v>0</v>
      </c>
      <c r="E14" s="36">
        <f>'My Inflation'!$B$10*(1+'My Inflation'!$G$10)^$A14</f>
        <v>66573.51853</v>
      </c>
      <c r="F14" s="36">
        <f>'My Inflation'!$B$11*(1+'My Inflation'!$G$11)^$A14</f>
        <v>63194.08994</v>
      </c>
      <c r="G14" s="36">
        <f>'My Inflation'!$B$12*(1+'My Inflation'!$G$12)^$A14</f>
        <v>23459.34569</v>
      </c>
      <c r="H14" s="37">
        <f t="shared" si="1"/>
        <v>248311.1542</v>
      </c>
      <c r="I14" s="38">
        <f>'My Inflation'!$B$13*(1+'My Inflation'!$B$17)^$A14</f>
        <v>149518.8879</v>
      </c>
    </row>
    <row r="15">
      <c r="A15" s="11">
        <v>10.0</v>
      </c>
      <c r="B15" s="18">
        <f>'My Inflation'!$B$7*(1+'My Inflation'!$G$7)^$A15</f>
        <v>31038.26531</v>
      </c>
      <c r="C15" s="18">
        <f>'My Inflation'!$B$8*(1+'My Inflation'!$G$8)^$A15</f>
        <v>74730.58017</v>
      </c>
      <c r="D15" s="18">
        <f>'My Inflation'!$B$9*(1+'My Inflation'!$G$9)^$A15</f>
        <v>0</v>
      </c>
      <c r="E15" s="18">
        <f>'My Inflation'!$B$10*(1+'My Inflation'!$G$10)^$A15</f>
        <v>72738.77516</v>
      </c>
      <c r="F15" s="18">
        <f>'My Inflation'!$B$11*(1+'My Inflation'!$G$11)^$A15</f>
        <v>78473.7996</v>
      </c>
      <c r="G15" s="18">
        <f>'My Inflation'!$B$12*(1+'My Inflation'!$G$12)^$A15</f>
        <v>25049.65409</v>
      </c>
      <c r="H15" s="29">
        <f t="shared" si="1"/>
        <v>282031.0743</v>
      </c>
      <c r="I15" s="31">
        <f>'My Inflation'!$B$13*(1+'My Inflation'!$B$17)^$A15</f>
        <v>158490.0211</v>
      </c>
    </row>
    <row r="16">
      <c r="A16" s="21">
        <v>11.0</v>
      </c>
      <c r="B16" s="36">
        <f>'My Inflation'!$B$7*(1+'My Inflation'!$G$7)^$A16</f>
        <v>34278.15207</v>
      </c>
      <c r="C16" s="36">
        <f>'My Inflation'!$B$8*(1+'My Inflation'!$G$8)^$A16</f>
        <v>83378.52124</v>
      </c>
      <c r="D16" s="36">
        <f>'My Inflation'!$B$9*(1+'My Inflation'!$G$9)^$A16</f>
        <v>0</v>
      </c>
      <c r="E16" s="36">
        <f>'My Inflation'!$B$10*(1+'My Inflation'!$G$10)^$A16</f>
        <v>79474.98537</v>
      </c>
      <c r="F16" s="36">
        <f>'My Inflation'!$B$11*(1+'My Inflation'!$G$11)^$A16</f>
        <v>97447.99284</v>
      </c>
      <c r="G16" s="36">
        <f>'My Inflation'!$B$12*(1+'My Inflation'!$G$12)^$A16</f>
        <v>26747.76945</v>
      </c>
      <c r="H16" s="37">
        <f t="shared" si="1"/>
        <v>321327.421</v>
      </c>
      <c r="I16" s="38">
        <f>'My Inflation'!$B$13*(1+'My Inflation'!$B$17)^$A16</f>
        <v>167999.4224</v>
      </c>
    </row>
    <row r="17">
      <c r="A17" s="21">
        <v>12.0</v>
      </c>
      <c r="B17" s="36">
        <f>'My Inflation'!$B$7*(1+'My Inflation'!$G$7)^$A17</f>
        <v>37856.22997</v>
      </c>
      <c r="C17" s="36">
        <f>'My Inflation'!$B$8*(1+'My Inflation'!$G$8)^$A17</f>
        <v>93027.21574</v>
      </c>
      <c r="D17" s="36">
        <f>'My Inflation'!$B$9*(1+'My Inflation'!$G$9)^$A17</f>
        <v>0</v>
      </c>
      <c r="E17" s="36">
        <f>'My Inflation'!$B$10*(1+'My Inflation'!$G$10)^$A17</f>
        <v>86835.02417</v>
      </c>
      <c r="F17" s="36">
        <f>'My Inflation'!$B$11*(1+'My Inflation'!$G$11)^$A17</f>
        <v>121009.9595</v>
      </c>
      <c r="G17" s="36">
        <f>'My Inflation'!$B$12*(1+'My Inflation'!$G$12)^$A17</f>
        <v>28561</v>
      </c>
      <c r="H17" s="37">
        <f t="shared" si="1"/>
        <v>367289.4293</v>
      </c>
      <c r="I17" s="38">
        <f>'My Inflation'!$B$13*(1+'My Inflation'!$B$17)^$A17</f>
        <v>178079.3878</v>
      </c>
    </row>
    <row r="18">
      <c r="A18" s="21">
        <v>13.0</v>
      </c>
      <c r="B18" s="36">
        <f>'My Inflation'!$B$7*(1+'My Inflation'!$G$7)^$A18</f>
        <v>41807.80062</v>
      </c>
      <c r="C18" s="36">
        <f>'My Inflation'!$B$8*(1+'My Inflation'!$G$8)^$A18</f>
        <v>103792.4725</v>
      </c>
      <c r="D18" s="36">
        <f>'My Inflation'!$B$9*(1+'My Inflation'!$G$9)^$A18</f>
        <v>0</v>
      </c>
      <c r="E18" s="36">
        <f>'My Inflation'!$B$10*(1+'My Inflation'!$G$10)^$A18</f>
        <v>94876.66325</v>
      </c>
      <c r="F18" s="36">
        <f>'My Inflation'!$B$11*(1+'My Inflation'!$G$11)^$A18</f>
        <v>150268.978</v>
      </c>
      <c r="G18" s="36">
        <f>'My Inflation'!$B$12*(1+'My Inflation'!$G$12)^$A18</f>
        <v>30497.1494</v>
      </c>
      <c r="H18" s="37">
        <f t="shared" si="1"/>
        <v>421243.0637</v>
      </c>
      <c r="I18" s="38">
        <f>'My Inflation'!$B$13*(1+'My Inflation'!$B$17)^$A18</f>
        <v>188764.151</v>
      </c>
    </row>
    <row r="19">
      <c r="A19" s="21">
        <v>14.0</v>
      </c>
      <c r="B19" s="36">
        <f>'My Inflation'!$B$7*(1+'My Inflation'!$G$7)^$A19</f>
        <v>46171.85056</v>
      </c>
      <c r="C19" s="36">
        <f>'My Inflation'!$B$8*(1+'My Inflation'!$G$8)^$A19</f>
        <v>115803.5017</v>
      </c>
      <c r="D19" s="36">
        <f>'My Inflation'!$B$9*(1+'My Inflation'!$G$9)^$A19</f>
        <v>0</v>
      </c>
      <c r="E19" s="36">
        <f>'My Inflation'!$B$10*(1+'My Inflation'!$G$10)^$A19</f>
        <v>103663.0244</v>
      </c>
      <c r="F19" s="36">
        <f>'My Inflation'!$B$11*(1+'My Inflation'!$G$11)^$A19</f>
        <v>186602.5395</v>
      </c>
      <c r="G19" s="36">
        <f>'My Inflation'!$B$12*(1+'My Inflation'!$G$12)^$A19</f>
        <v>32564.55032</v>
      </c>
      <c r="H19" s="37">
        <f t="shared" si="1"/>
        <v>484805.4665</v>
      </c>
      <c r="I19" s="38">
        <f>'My Inflation'!$B$13*(1+'My Inflation'!$B$17)^$A19</f>
        <v>200090.0001</v>
      </c>
    </row>
    <row r="20">
      <c r="A20" s="11">
        <v>15.0</v>
      </c>
      <c r="B20" s="18">
        <f>'My Inflation'!$B$7*(1+'My Inflation'!$G$7)^$A20</f>
        <v>50991.43586</v>
      </c>
      <c r="C20" s="18">
        <f>'My Inflation'!$B$8*(1+'My Inflation'!$G$8)^$A20</f>
        <v>129204.4663</v>
      </c>
      <c r="D20" s="18">
        <f>'My Inflation'!$B$9*(1+'My Inflation'!$G$9)^$A20</f>
        <v>0</v>
      </c>
      <c r="E20" s="18">
        <f>'My Inflation'!$B$10*(1+'My Inflation'!$G$10)^$A20</f>
        <v>113263.075</v>
      </c>
      <c r="F20" s="18">
        <f>'My Inflation'!$B$11*(1+'My Inflation'!$G$11)^$A20</f>
        <v>231721.199</v>
      </c>
      <c r="G20" s="18">
        <f>'My Inflation'!$B$12*(1+'My Inflation'!$G$12)^$A20</f>
        <v>34772.10028</v>
      </c>
      <c r="H20" s="29">
        <f t="shared" si="1"/>
        <v>559952.2764</v>
      </c>
      <c r="I20" s="31">
        <f>'My Inflation'!$B$13*(1+'My Inflation'!$B$17)^$A20</f>
        <v>212095.4001</v>
      </c>
    </row>
    <row r="21" ht="15.75" customHeight="1">
      <c r="A21" s="21">
        <v>16.0</v>
      </c>
      <c r="B21" s="36">
        <f>'My Inflation'!$B$7*(1+'My Inflation'!$G$7)^$A21</f>
        <v>56314.10697</v>
      </c>
      <c r="C21" s="36">
        <f>'My Inflation'!$B$8*(1+'My Inflation'!$G$8)^$A21</f>
        <v>144156.2117</v>
      </c>
      <c r="D21" s="36">
        <f>'My Inflation'!$B$9*(1+'My Inflation'!$G$9)^$A21</f>
        <v>0</v>
      </c>
      <c r="E21" s="36">
        <f>'My Inflation'!$B$10*(1+'My Inflation'!$G$10)^$A21</f>
        <v>123752.1695</v>
      </c>
      <c r="F21" s="36">
        <f>'My Inflation'!$B$11*(1+'My Inflation'!$G$11)^$A21</f>
        <v>287749.1067</v>
      </c>
      <c r="G21" s="36">
        <f>'My Inflation'!$B$12*(1+'My Inflation'!$G$12)^$A21</f>
        <v>37129.3</v>
      </c>
      <c r="H21" s="37">
        <f t="shared" si="1"/>
        <v>649100.8949</v>
      </c>
      <c r="I21" s="38">
        <f>'My Inflation'!$B$13*(1+'My Inflation'!$B$17)^$A21</f>
        <v>224821.1241</v>
      </c>
    </row>
    <row r="22" ht="15.75" customHeight="1">
      <c r="A22" s="21">
        <v>17.0</v>
      </c>
      <c r="B22" s="36">
        <f>'My Inflation'!$B$7*(1+'My Inflation'!$G$7)^$A22</f>
        <v>62192.3778</v>
      </c>
      <c r="C22" s="36">
        <f>'My Inflation'!$B$8*(1+'My Inflation'!$G$8)^$A22</f>
        <v>160838.1968</v>
      </c>
      <c r="D22" s="36">
        <f>'My Inflation'!$B$9*(1+'My Inflation'!$G$9)^$A22</f>
        <v>0</v>
      </c>
      <c r="E22" s="36">
        <f>'My Inflation'!$B$10*(1+'My Inflation'!$G$10)^$A22</f>
        <v>135212.6405</v>
      </c>
      <c r="F22" s="36">
        <f>'My Inflation'!$B$11*(1+'My Inflation'!$G$11)^$A22</f>
        <v>357324.0118</v>
      </c>
      <c r="G22" s="36">
        <f>'My Inflation'!$B$12*(1+'My Inflation'!$G$12)^$A22</f>
        <v>39646.29422</v>
      </c>
      <c r="H22" s="37">
        <f t="shared" si="1"/>
        <v>755213.5211</v>
      </c>
      <c r="I22" s="38">
        <f>'My Inflation'!$B$13*(1+'My Inflation'!$B$17)^$A22</f>
        <v>238310.3915</v>
      </c>
    </row>
    <row r="23" ht="15.75" customHeight="1">
      <c r="A23" s="21">
        <v>18.0</v>
      </c>
      <c r="B23" s="36">
        <f>'My Inflation'!$B$7*(1+'My Inflation'!$G$7)^$A23</f>
        <v>68684.24387</v>
      </c>
      <c r="C23" s="36">
        <f>'My Inflation'!$B$8*(1+'My Inflation'!$G$8)^$A23</f>
        <v>179450.6477</v>
      </c>
      <c r="D23" s="36">
        <f>'My Inflation'!$B$9*(1+'My Inflation'!$G$9)^$A23</f>
        <v>0</v>
      </c>
      <c r="E23" s="36">
        <f>'My Inflation'!$B$10*(1+'My Inflation'!$G$10)^$A23</f>
        <v>147734.4457</v>
      </c>
      <c r="F23" s="36">
        <f>'My Inflation'!$B$11*(1+'My Inflation'!$G$11)^$A23</f>
        <v>443721.4448</v>
      </c>
      <c r="G23" s="36">
        <f>'My Inflation'!$B$12*(1+'My Inflation'!$G$12)^$A23</f>
        <v>42333.91541</v>
      </c>
      <c r="H23" s="37">
        <f t="shared" si="1"/>
        <v>881924.6974</v>
      </c>
      <c r="I23" s="38">
        <f>'My Inflation'!$B$13*(1+'My Inflation'!$B$17)^$A23</f>
        <v>252609.015</v>
      </c>
    </row>
    <row r="24" ht="15.75" customHeight="1">
      <c r="A24" s="21">
        <v>19.0</v>
      </c>
      <c r="B24" s="36">
        <f>'My Inflation'!$B$7*(1+'My Inflation'!$G$7)^$A24</f>
        <v>75853.75448</v>
      </c>
      <c r="C24" s="36">
        <f>'My Inflation'!$B$8*(1+'My Inflation'!$G$8)^$A24</f>
        <v>200216.9608</v>
      </c>
      <c r="D24" s="36">
        <f>'My Inflation'!$B$9*(1+'My Inflation'!$G$9)^$A24</f>
        <v>0</v>
      </c>
      <c r="E24" s="36">
        <f>'My Inflation'!$B$10*(1+'My Inflation'!$G$10)^$A24</f>
        <v>161415.8732</v>
      </c>
      <c r="F24" s="36">
        <f>'My Inflation'!$B$11*(1+'My Inflation'!$G$11)^$A24</f>
        <v>551008.9278</v>
      </c>
      <c r="G24" s="36">
        <f>'My Inflation'!$B$12*(1+'My Inflation'!$G$12)^$A24</f>
        <v>45203.73037</v>
      </c>
      <c r="H24" s="37">
        <f t="shared" si="1"/>
        <v>1033699.247</v>
      </c>
      <c r="I24" s="38">
        <f>'My Inflation'!$B$13*(1+'My Inflation'!$B$17)^$A24</f>
        <v>267765.5559</v>
      </c>
    </row>
    <row r="25" ht="15.75" customHeight="1">
      <c r="A25" s="11">
        <v>20.0</v>
      </c>
      <c r="B25" s="18">
        <f>'My Inflation'!$B$7*(1+'My Inflation'!$G$7)^$A25</f>
        <v>83771.64463</v>
      </c>
      <c r="C25" s="18">
        <f>'My Inflation'!$B$8*(1+'My Inflation'!$G$8)^$A25</f>
        <v>223386.3845</v>
      </c>
      <c r="D25" s="18">
        <f>'My Inflation'!$B$9*(1+'My Inflation'!$G$9)^$A25</f>
        <v>0</v>
      </c>
      <c r="E25" s="18">
        <f>'My Inflation'!$B$10*(1+'My Inflation'!$G$10)^$A25</f>
        <v>176364.3137</v>
      </c>
      <c r="F25" s="18">
        <f>'My Inflation'!$B$11*(1+'My Inflation'!$G$11)^$A25</f>
        <v>684237.4694</v>
      </c>
      <c r="G25" s="18">
        <f>'My Inflation'!$B$12*(1+'My Inflation'!$G$12)^$A25</f>
        <v>48268.09</v>
      </c>
      <c r="H25" s="29">
        <f t="shared" si="1"/>
        <v>1216027.902</v>
      </c>
      <c r="I25" s="31">
        <f>'My Inflation'!$B$13*(1+'My Inflation'!$B$17)^$A25</f>
        <v>283831.4893</v>
      </c>
    </row>
    <row r="26" ht="15.75" customHeight="1">
      <c r="A26" s="21">
        <v>21.0</v>
      </c>
      <c r="B26" s="36">
        <f>'My Inflation'!$B$7*(1+'My Inflation'!$G$7)^$A26</f>
        <v>92516.03288</v>
      </c>
      <c r="C26" s="36">
        <f>'My Inflation'!$B$8*(1+'My Inflation'!$G$8)^$A26</f>
        <v>249237.0106</v>
      </c>
      <c r="D26" s="36">
        <f>'My Inflation'!$B$9*(1+'My Inflation'!$G$9)^$A26</f>
        <v>0</v>
      </c>
      <c r="E26" s="36">
        <f>'My Inflation'!$B$10*(1+'My Inflation'!$G$10)^$A26</f>
        <v>192697.103</v>
      </c>
      <c r="F26" s="36">
        <f>'My Inflation'!$B$11*(1+'My Inflation'!$G$11)^$A26</f>
        <v>849679.3625</v>
      </c>
      <c r="G26" s="36">
        <f>'My Inflation'!$B$12*(1+'My Inflation'!$G$12)^$A26</f>
        <v>51540.18249</v>
      </c>
      <c r="H26" s="37">
        <f t="shared" si="1"/>
        <v>1435669.691</v>
      </c>
      <c r="I26" s="38">
        <f>'My Inflation'!$B$13*(1+'My Inflation'!$B$17)^$A26</f>
        <v>300861.3786</v>
      </c>
    </row>
    <row r="27" ht="15.75" customHeight="1">
      <c r="A27" s="21">
        <v>22.0</v>
      </c>
      <c r="B27" s="36">
        <f>'My Inflation'!$B$7*(1+'My Inflation'!$G$7)^$A27</f>
        <v>102173.1921</v>
      </c>
      <c r="C27" s="36">
        <f>'My Inflation'!$B$8*(1+'My Inflation'!$G$8)^$A27</f>
        <v>278079.1122</v>
      </c>
      <c r="D27" s="36">
        <f>'My Inflation'!$B$9*(1+'My Inflation'!$G$9)^$A27</f>
        <v>0</v>
      </c>
      <c r="E27" s="36">
        <f>'My Inflation'!$B$10*(1+'My Inflation'!$G$10)^$A27</f>
        <v>210542.4433</v>
      </c>
      <c r="F27" s="36">
        <f>'My Inflation'!$B$11*(1+'My Inflation'!$G$11)^$A27</f>
        <v>1055123.479</v>
      </c>
      <c r="G27" s="36">
        <f>'My Inflation'!$B$12*(1+'My Inflation'!$G$12)^$A27</f>
        <v>55034.09003</v>
      </c>
      <c r="H27" s="37">
        <f t="shared" si="1"/>
        <v>1700952.316</v>
      </c>
      <c r="I27" s="38">
        <f>'My Inflation'!$B$13*(1+'My Inflation'!$B$17)^$A27</f>
        <v>318913.0614</v>
      </c>
    </row>
    <row r="28" ht="15.75" customHeight="1">
      <c r="A28" s="21">
        <v>23.0</v>
      </c>
      <c r="B28" s="36">
        <f>'My Inflation'!$B$7*(1+'My Inflation'!$G$7)^$A28</f>
        <v>112838.4006</v>
      </c>
      <c r="C28" s="36">
        <f>'My Inflation'!$B$8*(1+'My Inflation'!$G$8)^$A28</f>
        <v>310258.8674</v>
      </c>
      <c r="D28" s="36">
        <f>'My Inflation'!$B$9*(1+'My Inflation'!$G$9)^$A28</f>
        <v>0</v>
      </c>
      <c r="E28" s="36">
        <f>'My Inflation'!$B$10*(1+'My Inflation'!$G$10)^$A28</f>
        <v>230040.4092</v>
      </c>
      <c r="F28" s="36">
        <f>'My Inflation'!$B$11*(1+'My Inflation'!$G$11)^$A28</f>
        <v>1310241.963</v>
      </c>
      <c r="G28" s="36">
        <f>'My Inflation'!$B$12*(1+'My Inflation'!$G$12)^$A28</f>
        <v>58764.84948</v>
      </c>
      <c r="H28" s="37">
        <f t="shared" si="1"/>
        <v>2022144.489</v>
      </c>
      <c r="I28" s="38">
        <f>'My Inflation'!$B$13*(1+'My Inflation'!$B$17)^$A28</f>
        <v>338047.845</v>
      </c>
    </row>
    <row r="29" ht="15.75" customHeight="1">
      <c r="A29" s="21">
        <v>24.0</v>
      </c>
      <c r="B29" s="36">
        <f>'My Inflation'!$B$7*(1+'My Inflation'!$G$7)^$A29</f>
        <v>124616.8824</v>
      </c>
      <c r="C29" s="36">
        <f>'My Inflation'!$B$8*(1+'My Inflation'!$G$8)^$A29</f>
        <v>346162.5148</v>
      </c>
      <c r="D29" s="36">
        <f>'My Inflation'!$B$9*(1+'My Inflation'!$G$9)^$A29</f>
        <v>0</v>
      </c>
      <c r="E29" s="36">
        <f>'My Inflation'!$B$10*(1+'My Inflation'!$G$10)^$A29</f>
        <v>251344.0474</v>
      </c>
      <c r="F29" s="36">
        <f>'My Inflation'!$B$11*(1+'My Inflation'!$G$11)^$A29</f>
        <v>1627045.588</v>
      </c>
      <c r="G29" s="36">
        <f>'My Inflation'!$B$12*(1+'My Inflation'!$G$12)^$A29</f>
        <v>62748.517</v>
      </c>
      <c r="H29" s="37">
        <f t="shared" si="1"/>
        <v>2411917.549</v>
      </c>
      <c r="I29" s="38">
        <f>'My Inflation'!$B$13*(1+'My Inflation'!$B$17)^$A29</f>
        <v>358330.7158</v>
      </c>
    </row>
    <row r="30" ht="15.75" customHeight="1">
      <c r="A30" s="11">
        <v>25.0</v>
      </c>
      <c r="B30" s="18">
        <f>'My Inflation'!$B$7*(1+'My Inflation'!$G$7)^$A30</f>
        <v>137624.8447</v>
      </c>
      <c r="C30" s="18">
        <f>'My Inflation'!$B$8*(1+'My Inflation'!$G$8)^$A30</f>
        <v>386220.9891</v>
      </c>
      <c r="D30" s="18">
        <f>'My Inflation'!$B$9*(1+'My Inflation'!$G$9)^$A30</f>
        <v>0</v>
      </c>
      <c r="E30" s="18">
        <f>'My Inflation'!$B$10*(1+'My Inflation'!$G$10)^$A30</f>
        <v>274620.5782</v>
      </c>
      <c r="F30" s="18">
        <f>'My Inflation'!$B$11*(1+'My Inflation'!$G$11)^$A30</f>
        <v>2020449.215</v>
      </c>
      <c r="G30" s="18">
        <f>'My Inflation'!$B$12*(1+'My Inflation'!$G$12)^$A30</f>
        <v>67002.23723</v>
      </c>
      <c r="H30" s="29">
        <f t="shared" si="1"/>
        <v>2885917.864</v>
      </c>
      <c r="I30" s="31">
        <f>'My Inflation'!$B$13*(1+'My Inflation'!$B$17)^$A30</f>
        <v>379830.5587</v>
      </c>
    </row>
    <row r="31" ht="15.75" customHeight="1">
      <c r="A31" s="21">
        <v>26.0</v>
      </c>
      <c r="B31" s="36">
        <f>'My Inflation'!$B$7*(1+'My Inflation'!$G$7)^$A31</f>
        <v>151990.6254</v>
      </c>
      <c r="C31" s="36">
        <f>'My Inflation'!$B$8*(1+'My Inflation'!$G$8)^$A31</f>
        <v>430915.0935</v>
      </c>
      <c r="D31" s="36">
        <f>'My Inflation'!$B$9*(1+'My Inflation'!$G$9)^$A31</f>
        <v>0</v>
      </c>
      <c r="E31" s="36">
        <f>'My Inflation'!$B$10*(1+'My Inflation'!$G$10)^$A31</f>
        <v>300052.7076</v>
      </c>
      <c r="F31" s="36">
        <f>'My Inflation'!$B$11*(1+'My Inflation'!$G$11)^$A31</f>
        <v>2508973.971</v>
      </c>
      <c r="G31" s="36">
        <f>'My Inflation'!$B$12*(1+'My Inflation'!$G$12)^$A31</f>
        <v>71544.31704</v>
      </c>
      <c r="H31" s="37">
        <f t="shared" si="1"/>
        <v>3463476.715</v>
      </c>
      <c r="I31" s="38">
        <f>'My Inflation'!$B$13*(1+'My Inflation'!$B$17)^$A31</f>
        <v>402620.3922</v>
      </c>
    </row>
    <row r="32" ht="15.75" customHeight="1">
      <c r="A32" s="21">
        <v>27.0</v>
      </c>
      <c r="B32" s="36">
        <f>'My Inflation'!$B$7*(1+'My Inflation'!$G$7)^$A32</f>
        <v>167855.9585</v>
      </c>
      <c r="C32" s="36">
        <f>'My Inflation'!$B$8*(1+'My Inflation'!$G$8)^$A32</f>
        <v>480781.2705</v>
      </c>
      <c r="D32" s="36">
        <f>'My Inflation'!$B$9*(1+'My Inflation'!$G$9)^$A32</f>
        <v>0</v>
      </c>
      <c r="E32" s="36">
        <f>'My Inflation'!$B$10*(1+'My Inflation'!$G$10)^$A32</f>
        <v>327840.0619</v>
      </c>
      <c r="F32" s="36">
        <f>'My Inflation'!$B$11*(1+'My Inflation'!$G$11)^$A32</f>
        <v>3115619.21</v>
      </c>
      <c r="G32" s="36">
        <f>'My Inflation'!$B$12*(1+'My Inflation'!$G$12)^$A32</f>
        <v>76394.30432</v>
      </c>
      <c r="H32" s="37">
        <f t="shared" si="1"/>
        <v>4168490.806</v>
      </c>
      <c r="I32" s="38">
        <f>'My Inflation'!$B$13*(1+'My Inflation'!$B$17)^$A32</f>
        <v>426777.6158</v>
      </c>
    </row>
    <row r="33" ht="15.75" customHeight="1">
      <c r="A33" s="21">
        <v>28.0</v>
      </c>
      <c r="B33" s="36">
        <f>'My Inflation'!$B$7*(1+'My Inflation'!$G$7)^$A33</f>
        <v>185377.3725</v>
      </c>
      <c r="C33" s="36">
        <f>'My Inflation'!$B$8*(1+'My Inflation'!$G$8)^$A33</f>
        <v>536418.0404</v>
      </c>
      <c r="D33" s="36">
        <f>'My Inflation'!$B$9*(1+'My Inflation'!$G$9)^$A33</f>
        <v>0</v>
      </c>
      <c r="E33" s="36">
        <f>'My Inflation'!$B$10*(1+'My Inflation'!$G$10)^$A33</f>
        <v>358200.7542</v>
      </c>
      <c r="F33" s="36">
        <f>'My Inflation'!$B$11*(1+'My Inflation'!$G$11)^$A33</f>
        <v>3868945.305</v>
      </c>
      <c r="G33" s="36">
        <f>'My Inflation'!$B$12*(1+'My Inflation'!$G$12)^$A33</f>
        <v>81573.0721</v>
      </c>
      <c r="H33" s="37">
        <f t="shared" si="1"/>
        <v>5030514.544</v>
      </c>
      <c r="I33" s="38">
        <f>'My Inflation'!$B$13*(1+'My Inflation'!$B$17)^$A33</f>
        <v>452384.2727</v>
      </c>
    </row>
    <row r="34" ht="15.75" customHeight="1">
      <c r="A34" s="21">
        <v>29.0</v>
      </c>
      <c r="B34" s="36">
        <f>'My Inflation'!$B$7*(1+'My Inflation'!$G$7)^$A34</f>
        <v>204727.7353</v>
      </c>
      <c r="C34" s="36">
        <f>'My Inflation'!$B$8*(1+'My Inflation'!$G$8)^$A34</f>
        <v>598493.1855</v>
      </c>
      <c r="D34" s="36">
        <f>'My Inflation'!$B$9*(1+'My Inflation'!$G$9)^$A34</f>
        <v>0</v>
      </c>
      <c r="E34" s="36">
        <f>'My Inflation'!$B$10*(1+'My Inflation'!$G$10)^$A34</f>
        <v>391373.0969</v>
      </c>
      <c r="F34" s="36">
        <f>'My Inflation'!$B$11*(1+'My Inflation'!$G$11)^$A34</f>
        <v>4804418.242</v>
      </c>
      <c r="G34" s="36">
        <f>'My Inflation'!$B$12*(1+'My Inflation'!$G$12)^$A34</f>
        <v>87102.9084</v>
      </c>
      <c r="H34" s="37">
        <f t="shared" si="1"/>
        <v>6086115.168</v>
      </c>
      <c r="I34" s="38">
        <f>'My Inflation'!$B$13*(1+'My Inflation'!$B$17)^$A34</f>
        <v>479527.3291</v>
      </c>
    </row>
    <row r="35" ht="15.75" customHeight="1">
      <c r="A35" s="11">
        <v>30.0</v>
      </c>
      <c r="B35" s="18">
        <f>'My Inflation'!$B$7*(1+'My Inflation'!$G$7)^$A35</f>
        <v>226097.9592</v>
      </c>
      <c r="C35" s="18">
        <f>'My Inflation'!$B$8*(1+'My Inflation'!$G$8)^$A35</f>
        <v>667751.7646</v>
      </c>
      <c r="D35" s="18">
        <f>'My Inflation'!$B$9*(1+'My Inflation'!$G$9)^$A35</f>
        <v>0</v>
      </c>
      <c r="E35" s="18">
        <f>'My Inflation'!$B$10*(1+'My Inflation'!$G$10)^$A35</f>
        <v>427617.472</v>
      </c>
      <c r="F35" s="18">
        <f>'My Inflation'!$B$11*(1+'My Inflation'!$G$11)^$A35</f>
        <v>5966079.339</v>
      </c>
      <c r="G35" s="18">
        <f>'My Inflation'!$B$12*(1+'My Inflation'!$G$12)^$A35</f>
        <v>93007.61216</v>
      </c>
      <c r="H35" s="29">
        <f t="shared" si="1"/>
        <v>7380554.147</v>
      </c>
      <c r="I35" s="31">
        <f>'My Inflation'!$B$13*(1+'My Inflation'!$B$17)^$A35</f>
        <v>508298.9688</v>
      </c>
    </row>
    <row r="36" ht="15.75" customHeight="1"/>
    <row r="37" ht="25.5" customHeight="1">
      <c r="A37" s="6" t="s">
        <v>60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7:I3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20.0"/>
    <col customWidth="1" min="3" max="3" width="6.0"/>
    <col customWidth="1" min="4" max="4" width="40.0"/>
    <col customWidth="1" min="5" max="26" width="8.71"/>
  </cols>
  <sheetData>
    <row r="1" ht="31.5" customHeight="1">
      <c r="A1" s="1" t="s">
        <v>1</v>
      </c>
      <c r="B1" s="3"/>
      <c r="C1" s="3"/>
      <c r="D1" s="4"/>
    </row>
    <row r="2" ht="25.5" customHeight="1">
      <c r="A2" s="5" t="s">
        <v>3</v>
      </c>
    </row>
    <row r="4">
      <c r="A4" s="7" t="s">
        <v>6</v>
      </c>
      <c r="B4" s="3"/>
      <c r="C4" s="3"/>
      <c r="D4" s="4"/>
    </row>
    <row r="5">
      <c r="A5" s="10" t="s">
        <v>11</v>
      </c>
      <c r="B5" s="12" t="s">
        <v>18</v>
      </c>
    </row>
    <row r="6">
      <c r="A6" s="13" t="s">
        <v>21</v>
      </c>
      <c r="B6" s="15">
        <v>2000000.0</v>
      </c>
    </row>
    <row r="7">
      <c r="A7" s="13" t="s">
        <v>23</v>
      </c>
      <c r="B7" s="16">
        <v>10.0</v>
      </c>
    </row>
    <row r="8">
      <c r="A8" s="13" t="s">
        <v>31</v>
      </c>
      <c r="B8" s="20">
        <v>0.1</v>
      </c>
    </row>
    <row r="9">
      <c r="A9" s="13" t="s">
        <v>32</v>
      </c>
      <c r="B9" s="20">
        <v>0.06</v>
      </c>
    </row>
    <row r="11">
      <c r="A11" s="7" t="s">
        <v>33</v>
      </c>
      <c r="B11" s="3"/>
      <c r="C11" s="3"/>
      <c r="D11" s="4"/>
    </row>
    <row r="12">
      <c r="A12" s="22" t="s">
        <v>34</v>
      </c>
      <c r="B12" s="23">
        <f>B6*(1+B9)^B7</f>
        <v>3581695.393</v>
      </c>
    </row>
    <row r="13">
      <c r="A13" s="24" t="s">
        <v>35</v>
      </c>
      <c r="B13" s="26">
        <f>B6*(1+B8)^B7</f>
        <v>5187484.92</v>
      </c>
    </row>
    <row r="14">
      <c r="A14" s="27" t="s">
        <v>36</v>
      </c>
      <c r="B14" s="30">
        <f>B13-B12</f>
        <v>1605789.527</v>
      </c>
    </row>
    <row r="15" ht="39.75" customHeight="1">
      <c r="A15" s="33" t="str">
        <f>IF(B13&gt;0,"Plan for the red number, not the calm one. Aiming at "&amp;TEXT(B12,"₹##,##,##0")&amp;" leaves you short by "&amp;TEXT(B13-B12,"₹##,##,##0")&amp;" when the bill actually arrives.","Fill in your goal above.")</f>
        <v>Plan for the red number, not the calm one. Aiming at ₹3,581,695 leaves you short by ₹1,605,790 when the bill actually arrives.</v>
      </c>
    </row>
    <row r="17" ht="25.5" customHeight="1">
      <c r="A17" s="34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4:D4"/>
    <mergeCell ref="A11:D11"/>
    <mergeCell ref="A15:D15"/>
    <mergeCell ref="A17:D17"/>
  </mergeCells>
  <printOptions/>
  <pageMargins bottom="1.0" footer="0.0" header="0.0" left="0.75" right="0.75" top="1.0"/>
  <pageSetup paperSize="9" orientation="portrait"/>
  <drawing r:id="rId2"/>
  <legacyDrawing r:id="rId3"/>
</worksheet>
</file>