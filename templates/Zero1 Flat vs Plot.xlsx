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t for Consumption" sheetId="1" r:id="rId5"/>
    <sheet state="visible" name="Plot+Construction For Consumpt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Taking the average of total cost range i.e., 5-12 lakhs
Source: 
https://www.nobroker.in/interiors/design-guides/home-interior-designers-in-delhi-cost/</t>
      </text>
    </comment>
    <comment authorId="0" ref="B16">
      <text>
        <t xml:space="preserve">0.5% of the house value. 
Could be more in societies with premium amenities. </t>
      </text>
    </comment>
    <comment authorId="0" ref="B15">
      <text>
        <t xml:space="preserve">0.5% of the house value 
This is different for every city and location. </t>
      </text>
    </comment>
    <comment authorId="0" ref="B9">
      <text>
        <t xml:space="preserve">As per RBI's HPI, the price of residential property in India has appreciated at an average rate of 4.5% between 2023-2024. 
https://www.rbi.org.in/Scripts/BS_PressReleaseDisplay.aspx?prid=57392
</t>
      </text>
    </comment>
    <comment authorId="0" ref="B7">
      <text>
        <t xml:space="preserve">Housing loan (TL)- 7.25% - 8.45%
Average - 7.85%
https://sbi.bank.in/web/interest-rates/interest-rates/loan-schemes-interest-rates/home-loans-interest-rates-current</t>
      </text>
    </comment>
    <comment authorId="0" ref="B5">
      <text>
        <t xml:space="preserve">Downpayment is considered to be 20% of the house cost so as to be prevent excessive leverage. 
The LTV ratio in respect of housing loans should not exceed 80 per cent. 
RBI - https://www.rbi.org.in/scripts/BS_ViewMasCirculardetails.aspx?id=7339#12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For the metros in India the construction cost ranges between ₹1500-3800/ sq ft.  Therefore we have assumed an average of about ₹2,500. 
Source: https://www.jkcement.com/blog/construction-budgeting/house-construction-cost-india/</t>
      </text>
    </comment>
    <comment authorId="0" ref="B59">
      <text>
        <t xml:space="preserve">Net Gain/Total Cost of House </t>
      </text>
    </comment>
    <comment authorId="0" ref="B58">
      <text>
        <t xml:space="preserve">Decision factor </t>
      </text>
    </comment>
    <comment authorId="0" ref="B40">
      <text>
        <t xml:space="preserve">0.5% of the house value 
This is different for every city and location. </t>
      </text>
    </comment>
    <comment authorId="0" ref="B7">
      <text>
        <t xml:space="preserve">Cities in India have a Stamp Duty between 5-7%, Registration charge of 1% and some have a surcharge/cess of 0.5-1% 
https://igr.karnataka.gov.in/info-2/Fees/Stamp%2BDuty%2Band%2BRegistration%2BFees/en
https://cleartax.in/s/stamp-duty-and-registration-charges-in-delhi</t>
      </text>
    </comment>
    <comment authorId="0" ref="B5">
      <text>
        <t xml:space="preserve">In pockets of metros like Delhi &amp; Bengaluru plot of land for residential use is available in the range of 7-9k per sq/ft 
https://www.magicbricks.com/residential-plots-land-for-sale-in-chhawla-new-delhi-pppfs
https://www.magicbricks.com/residential-plots-land-for-sale-in-chhawla-new-delhi-pppfs</t>
      </text>
    </comment>
  </commentList>
</comments>
</file>

<file path=xl/sharedStrings.xml><?xml version="1.0" encoding="utf-8"?>
<sst xmlns="http://schemas.openxmlformats.org/spreadsheetml/2006/main" count="100" uniqueCount="83">
  <si>
    <t xml:space="preserve">To edit, go to "File" &gt; Make a copy </t>
  </si>
  <si>
    <t>BUYING A FLAT FOR CONSUMPTION PURPOSE</t>
  </si>
  <si>
    <t>DISCLAIMER</t>
  </si>
  <si>
    <t>This is an EDUCATIONAL model. Numbers vary city-by-city, project-by-project, lender-by-lender.</t>
  </si>
  <si>
    <t xml:space="preserve">Cost of house 
(Inclusive of stamp duty and registration fee) </t>
  </si>
  <si>
    <t>BUYING A PLOT FOR RESIDENTIAL USE</t>
  </si>
  <si>
    <t>Always verify: interest rates from your bank, stamp duty, registartion cost, cess &amp; surcharge from your state's portal and construction quotes from local contractors.</t>
  </si>
  <si>
    <t>Plot Size (sq ft)</t>
  </si>
  <si>
    <t xml:space="preserve">Downpayment (Rs) </t>
  </si>
  <si>
    <t xml:space="preserve">This is NOT financial advice. </t>
  </si>
  <si>
    <t xml:space="preserve">Plot Rate (Per sq ft) </t>
  </si>
  <si>
    <t xml:space="preserve">Cost of Plot </t>
  </si>
  <si>
    <t>Stamp Duty</t>
  </si>
  <si>
    <t xml:space="preserve">Loan Amount (Rs) </t>
  </si>
  <si>
    <t>Registration Cost</t>
  </si>
  <si>
    <t xml:space="preserve">Loan Interest Rate (in %) </t>
  </si>
  <si>
    <t xml:space="preserve">Loan Tenure (in years) </t>
  </si>
  <si>
    <t>Cess/Surcharge (%)</t>
  </si>
  <si>
    <t xml:space="preserve">Legal Due Diligence Cost </t>
  </si>
  <si>
    <t xml:space="preserve">Documentation Cost </t>
  </si>
  <si>
    <t xml:space="preserve">Total Cost of Plot </t>
  </si>
  <si>
    <t xml:space="preserve">House Appreciation (%) </t>
  </si>
  <si>
    <t xml:space="preserve"> </t>
  </si>
  <si>
    <t xml:space="preserve">EMI </t>
  </si>
  <si>
    <t>CONSTRUCTION COST ON THE PLOT</t>
  </si>
  <si>
    <t xml:space="preserve">Total repayment to bank </t>
  </si>
  <si>
    <t>Maximum ground coverage (sq ft)</t>
  </si>
  <si>
    <t>Total built up area (sq ft)</t>
  </si>
  <si>
    <t xml:space="preserve">Construction cost per sq ft </t>
  </si>
  <si>
    <t xml:space="preserve">Downpayment (20 L) + Loan repayment </t>
  </si>
  <si>
    <t>Built Up Construction Cost</t>
  </si>
  <si>
    <t xml:space="preserve">Site Cleanup Cost </t>
  </si>
  <si>
    <t xml:space="preserve">ASSOCIATED EXPENSES </t>
  </si>
  <si>
    <t>Architect fee</t>
  </si>
  <si>
    <t xml:space="preserve">AMOUNT PER YEAR </t>
  </si>
  <si>
    <t xml:space="preserve">INCREMENT (%) </t>
  </si>
  <si>
    <t xml:space="preserve">TOTAL ASSOCIATED EXPENSES </t>
  </si>
  <si>
    <t>Annual Property Tax (%)</t>
  </si>
  <si>
    <t xml:space="preserve">Soil test cost </t>
  </si>
  <si>
    <t>Plan approval cost</t>
  </si>
  <si>
    <t>Municipal Approval Cost &amp; Betterment Charges</t>
  </si>
  <si>
    <t>Water Connection Cost</t>
  </si>
  <si>
    <t>Electricity Connection Cost</t>
  </si>
  <si>
    <t>Sewage / Drainage Cost</t>
  </si>
  <si>
    <t>Kitchen Setup Cost</t>
  </si>
  <si>
    <t>Wardrobe Cost</t>
  </si>
  <si>
    <t>Bathroom Fittings Cost</t>
  </si>
  <si>
    <t>Paint /Finishing Cost</t>
  </si>
  <si>
    <t>Basic Interior Cost</t>
  </si>
  <si>
    <t>Furniture &amp; Appliance Cost</t>
  </si>
  <si>
    <t>Site Supervision Cost</t>
  </si>
  <si>
    <t>Temporary Site Utilities Cost</t>
  </si>
  <si>
    <t xml:space="preserve">Total Construction Cost </t>
  </si>
  <si>
    <t xml:space="preserve">Contingency Cost (20%) </t>
  </si>
  <si>
    <t>Final Cost (Plot+Construction+Contingency Cost)</t>
  </si>
  <si>
    <t>Annual Society Maintenance (%)</t>
  </si>
  <si>
    <t xml:space="preserve">House Maintenance </t>
  </si>
  <si>
    <t xml:space="preserve">Interior &amp; Furnishing </t>
  </si>
  <si>
    <t xml:space="preserve">(One time cost) </t>
  </si>
  <si>
    <t>Water Tax</t>
  </si>
  <si>
    <t xml:space="preserve">Total Expenses </t>
  </si>
  <si>
    <t>CUMULATIVE GAIN</t>
  </si>
  <si>
    <t xml:space="preserve">Total cost of the house </t>
  </si>
  <si>
    <t>Value of the house after 20 years</t>
  </si>
  <si>
    <t xml:space="preserve">CUMULATIVE GAIN </t>
  </si>
  <si>
    <t xml:space="preserve">Maintenance Cost </t>
  </si>
  <si>
    <t xml:space="preserve">GAIN % </t>
  </si>
  <si>
    <t>YEAR</t>
  </si>
  <si>
    <t xml:space="preserve">MONTH </t>
  </si>
  <si>
    <t xml:space="preserve">PRINCIPAL AMT. </t>
  </si>
  <si>
    <t xml:space="preserve">INTEREST AMT. </t>
  </si>
  <si>
    <t xml:space="preserve">LOAN BALANCE AMT. </t>
  </si>
  <si>
    <t xml:space="preserve">PRINCIPAL </t>
  </si>
  <si>
    <t xml:space="preserve">INTEREST </t>
  </si>
  <si>
    <t xml:space="preserve">LOAN MATH (BUYING PLOT + CONSTRUCTION) </t>
  </si>
  <si>
    <t xml:space="preserve">Loan Amount Sanctioned </t>
  </si>
  <si>
    <t xml:space="preserve">Loan Downpayment </t>
  </si>
  <si>
    <t>Loan Interest Rate (in %)</t>
  </si>
  <si>
    <t>Loan Tenure (in Years)</t>
  </si>
  <si>
    <t xml:space="preserve">House Appreciation (PA%) </t>
  </si>
  <si>
    <t>EMI</t>
  </si>
  <si>
    <t xml:space="preserve">Total Repayment to Bank </t>
  </si>
  <si>
    <t xml:space="preserve">Downpayment + Loan repayment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</si>
</sst>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[&gt;9999999]##\,##\,##\,##0;[$₹][&gt;99999]##\,##\,##0;[$₹]##,##0"/>
    <numFmt numFmtId="165" formatCode="[$₹]#,##0"/>
    <numFmt numFmtId="166" formatCode="0.000%"/>
  </numFmts>
  <fonts count="2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2.0"/>
      <color rgb="FF1A1A1A"/>
      <name val="Arial"/>
    </font>
    <font>
      <b/>
      <sz val="14.0"/>
      <color rgb="FF1F2937"/>
      <name val="Carlito"/>
    </font>
    <font/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rgb="FF0000FF"/>
      <name val="Arial"/>
      <scheme val="minor"/>
    </font>
    <font>
      <sz val="11.0"/>
      <color rgb="FF1F2937"/>
      <name val="Calibri"/>
    </font>
    <font>
      <b/>
      <sz val="10.0"/>
      <color rgb="FF1F2937"/>
      <name val="Carlito"/>
    </font>
    <font>
      <sz val="11.0"/>
      <color rgb="FF111827"/>
      <name val="Calibri"/>
    </font>
    <font>
      <sz val="10.0"/>
      <color rgb="FF111827"/>
      <name val="Carlito"/>
    </font>
    <font>
      <b/>
      <sz val="11.0"/>
      <color rgb="FF111827"/>
      <name val="Calibri"/>
    </font>
    <font>
      <color theme="1"/>
      <name val="Arial"/>
      <scheme val="minor"/>
    </font>
    <font>
      <b/>
      <sz val="11.0"/>
      <color rgb="FF111827"/>
      <name val="Arial"/>
      <scheme val="minor"/>
    </font>
    <font>
      <b/>
      <sz val="11.0"/>
      <color rgb="FF38761D"/>
      <name val="Calibri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shrinkToFit="0" vertical="bottom" wrapText="0"/>
    </xf>
    <xf borderId="1" fillId="4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2" fillId="0" fontId="5" numFmtId="0" xfId="0" applyBorder="1" applyFont="1"/>
    <xf borderId="0" fillId="0" fontId="6" numFmtId="0" xfId="0" applyAlignment="1" applyFont="1">
      <alignment shrinkToFit="0" vertical="bottom" wrapText="1"/>
    </xf>
    <xf borderId="3" fillId="0" fontId="7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readingOrder="0" shrinkToFit="0" vertical="bottom" wrapText="1"/>
    </xf>
    <xf borderId="3" fillId="3" fontId="8" numFmtId="164" xfId="0" applyAlignment="1" applyBorder="1" applyFill="1" applyFont="1" applyNumberFormat="1">
      <alignment horizontal="right" readingOrder="0" vertical="bottom"/>
    </xf>
    <xf borderId="0" fillId="3" fontId="9" numFmtId="0" xfId="0" applyAlignment="1" applyFill="1" applyFont="1">
      <alignment readingOrder="0" shrinkToFit="0" wrapText="1"/>
    </xf>
    <xf borderId="3" fillId="0" fontId="10" numFmtId="0" xfId="0" applyAlignment="1" applyBorder="1" applyFont="1">
      <alignment readingOrder="0"/>
    </xf>
    <xf borderId="0" fillId="0" fontId="11" numFmtId="0" xfId="0" applyFont="1"/>
    <xf borderId="3" fillId="0" fontId="12" numFmtId="0" xfId="0" applyAlignment="1" applyBorder="1" applyFont="1">
      <alignment readingOrder="0" vertical="center"/>
    </xf>
    <xf borderId="3" fillId="0" fontId="12" numFmtId="165" xfId="0" applyAlignment="1" applyBorder="1" applyFont="1" applyNumberFormat="1">
      <alignment readingOrder="0" vertical="center"/>
    </xf>
    <xf borderId="0" fillId="0" fontId="13" numFmtId="3" xfId="0" applyAlignment="1" applyFont="1" applyNumberFormat="1">
      <alignment vertical="center"/>
    </xf>
    <xf borderId="0" fillId="0" fontId="13" numFmtId="0" xfId="0" applyAlignment="1" applyFont="1">
      <alignment vertical="center"/>
    </xf>
    <xf borderId="3" fillId="0" fontId="14" numFmtId="0" xfId="0" applyAlignment="1" applyBorder="1" applyFont="1">
      <alignment readingOrder="0" vertical="center"/>
    </xf>
    <xf borderId="3" fillId="3" fontId="7" numFmtId="164" xfId="0" applyAlignment="1" applyBorder="1" applyFill="1" applyFont="1" applyNumberFormat="1">
      <alignment horizontal="right" readingOrder="0" vertical="bottom"/>
    </xf>
    <xf borderId="3" fillId="0" fontId="14" numFmtId="165" xfId="0" applyAlignment="1" applyBorder="1" applyFont="1" applyNumberFormat="1">
      <alignment readingOrder="0" vertical="center"/>
    </xf>
    <xf borderId="3" fillId="3" fontId="7" numFmtId="164" xfId="0" applyAlignment="1" applyBorder="1" applyFill="1" applyFont="1" applyNumberFormat="1">
      <alignment horizontal="right" vertical="bottom"/>
    </xf>
    <xf borderId="3" fillId="3" fontId="7" numFmtId="166" xfId="0" applyAlignment="1" applyBorder="1" applyFill="1" applyFont="1" applyNumberFormat="1">
      <alignment horizontal="right" readingOrder="0" vertical="bottom"/>
    </xf>
    <xf borderId="3" fillId="3" fontId="7" numFmtId="0" xfId="0" applyAlignment="1" applyBorder="1" applyFill="1" applyFont="1">
      <alignment horizontal="right" readingOrder="0" vertical="bottom"/>
    </xf>
    <xf borderId="3" fillId="3" fontId="7" numFmtId="10" xfId="0" applyAlignment="1" applyBorder="1" applyFill="1" applyFont="1" applyNumberFormat="1">
      <alignment horizontal="right" readingOrder="0" vertical="bottom"/>
    </xf>
    <xf borderId="3" fillId="5" fontId="14" numFmtId="0" xfId="0" applyAlignment="1" applyBorder="1" applyFill="1" applyFont="1">
      <alignment readingOrder="0" vertical="center"/>
    </xf>
    <xf borderId="0" fillId="0" fontId="15" numFmtId="0" xfId="0" applyAlignment="1" applyFont="1">
      <alignment readingOrder="0"/>
    </xf>
    <xf borderId="3" fillId="3" fontId="15" numFmtId="0" xfId="0" applyAlignment="1" applyBorder="1" applyFill="1" applyFont="1">
      <alignment readingOrder="0"/>
    </xf>
    <xf borderId="3" fillId="5" fontId="14" numFmtId="165" xfId="0" applyAlignment="1" applyBorder="1" applyFill="1" applyFont="1" applyNumberFormat="1">
      <alignment vertical="center"/>
    </xf>
    <xf borderId="0" fillId="0" fontId="12" numFmtId="0" xfId="0" applyAlignment="1" applyFont="1">
      <alignment vertical="center"/>
    </xf>
    <xf borderId="3" fillId="3" fontId="2" numFmtId="165" xfId="0" applyBorder="1" applyFill="1" applyFont="1" applyNumberFormat="1"/>
    <xf borderId="1" fillId="4" fontId="16" numFmtId="0" xfId="0" applyAlignment="1" applyBorder="1" applyFill="1" applyFont="1">
      <alignment horizontal="center" readingOrder="0" vertical="center"/>
    </xf>
    <xf borderId="3" fillId="0" fontId="12" numFmtId="3" xfId="0" applyAlignment="1" applyBorder="1" applyFont="1" applyNumberFormat="1">
      <alignment readingOrder="0" vertical="center"/>
    </xf>
    <xf borderId="3" fillId="3" fontId="8" numFmtId="164" xfId="0" applyAlignment="1" applyBorder="1" applyFill="1" applyFont="1" applyNumberFormat="1">
      <alignment horizontal="right" vertical="bottom"/>
    </xf>
    <xf borderId="0" fillId="0" fontId="15" numFmtId="10" xfId="0" applyFont="1" applyNumberFormat="1"/>
    <xf borderId="3" fillId="3" fontId="2" numFmtId="164" xfId="0" applyAlignment="1" applyBorder="1" applyFill="1" applyFont="1" applyNumberFormat="1">
      <alignment readingOrder="0"/>
    </xf>
    <xf borderId="3" fillId="4" fontId="2" numFmtId="0" xfId="0" applyAlignment="1" applyBorder="1" applyFill="1" applyFont="1">
      <alignment horizontal="center" readingOrder="0"/>
    </xf>
    <xf borderId="3" fillId="0" fontId="7" numFmtId="0" xfId="0" applyAlignment="1" applyBorder="1" applyFont="1">
      <alignment horizontal="left" readingOrder="0"/>
    </xf>
    <xf borderId="3" fillId="0" fontId="12" numFmtId="165" xfId="0" applyAlignment="1" applyBorder="1" applyFont="1" applyNumberFormat="1">
      <alignment vertical="center"/>
    </xf>
    <xf borderId="3" fillId="0" fontId="7" numFmtId="165" xfId="0" applyAlignment="1" applyBorder="1" applyFont="1" applyNumberFormat="1">
      <alignment horizontal="center" readingOrder="0"/>
    </xf>
    <xf borderId="3" fillId="0" fontId="12" numFmtId="0" xfId="0" applyAlignment="1" applyBorder="1" applyFont="1">
      <alignment readingOrder="0" shrinkToFit="0" vertical="center" wrapText="1"/>
    </xf>
    <xf borderId="3" fillId="0" fontId="7" numFmtId="9" xfId="0" applyAlignment="1" applyBorder="1" applyFont="1" applyNumberFormat="1">
      <alignment horizontal="center" readingOrder="0"/>
    </xf>
    <xf borderId="3" fillId="0" fontId="12" numFmtId="0" xfId="0" applyAlignment="1" applyBorder="1" applyFont="1">
      <alignment vertical="center"/>
    </xf>
    <xf borderId="3" fillId="5" fontId="8" numFmtId="0" xfId="0" applyAlignment="1" applyBorder="1" applyFill="1" applyFont="1">
      <alignment readingOrder="0" shrinkToFit="0" wrapText="1"/>
    </xf>
    <xf borderId="3" fillId="0" fontId="7" numFmtId="164" xfId="0" applyAlignment="1" applyBorder="1" applyFont="1" applyNumberFormat="1">
      <alignment horizontal="center" readingOrder="0" vertical="bottom"/>
    </xf>
    <xf borderId="3" fillId="5" fontId="8" numFmtId="165" xfId="0" applyBorder="1" applyFill="1" applyFont="1" applyNumberFormat="1"/>
    <xf borderId="3" fillId="0" fontId="7" numFmtId="0" xfId="0" applyAlignment="1" applyBorder="1" applyFont="1">
      <alignment horizontal="left" readingOrder="0" shrinkToFit="0" wrapText="1"/>
    </xf>
    <xf borderId="3" fillId="0" fontId="7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left" readingOrder="0"/>
    </xf>
    <xf borderId="3" fillId="0" fontId="7" numFmtId="0" xfId="0" applyAlignment="1" applyBorder="1" applyFont="1">
      <alignment horizontal="center"/>
    </xf>
    <xf borderId="3" fillId="0" fontId="12" numFmtId="165" xfId="0" applyAlignment="1" applyBorder="1" applyFont="1" applyNumberFormat="1">
      <alignment horizontal="center" readingOrder="0" vertical="center"/>
    </xf>
    <xf borderId="3" fillId="0" fontId="12" numFmtId="9" xfId="0" applyAlignment="1" applyBorder="1" applyFont="1" applyNumberFormat="1">
      <alignment horizontal="center" readingOrder="0" vertical="center"/>
    </xf>
    <xf borderId="3" fillId="0" fontId="8" numFmtId="164" xfId="0" applyAlignment="1" applyBorder="1" applyFont="1" applyNumberFormat="1">
      <alignment horizontal="center" readingOrder="0" vertical="bottom"/>
    </xf>
    <xf borderId="3" fillId="0" fontId="7" numFmtId="0" xfId="0" applyAlignment="1" applyBorder="1" applyFont="1">
      <alignment readingOrder="0"/>
    </xf>
    <xf borderId="3" fillId="0" fontId="17" numFmtId="0" xfId="0" applyAlignment="1" applyBorder="1" applyFont="1">
      <alignment readingOrder="0"/>
    </xf>
    <xf borderId="3" fillId="0" fontId="12" numFmtId="165" xfId="0" applyAlignment="1" applyBorder="1" applyFont="1" applyNumberFormat="1">
      <alignment horizontal="center" vertical="center"/>
    </xf>
    <xf borderId="3" fillId="3" fontId="17" numFmtId="164" xfId="0" applyAlignment="1" applyBorder="1" applyFill="1" applyFont="1" applyNumberFormat="1">
      <alignment horizontal="center" readingOrder="0" vertical="bottom"/>
    </xf>
    <xf borderId="3" fillId="0" fontId="17" numFmtId="9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3" fillId="0" fontId="13" numFmtId="0" xfId="0" applyAlignment="1" applyBorder="1" applyFont="1">
      <alignment vertical="center"/>
    </xf>
    <xf borderId="3" fillId="0" fontId="13" numFmtId="3" xfId="0" applyAlignment="1" applyBorder="1" applyFont="1" applyNumberFormat="1">
      <alignment vertical="center"/>
    </xf>
    <xf borderId="3" fillId="4" fontId="8" numFmtId="0" xfId="0" applyAlignment="1" applyBorder="1" applyFill="1" applyFont="1">
      <alignment horizontal="center" vertical="bottom"/>
    </xf>
    <xf borderId="3" fillId="4" fontId="18" numFmtId="0" xfId="0" applyAlignment="1" applyBorder="1" applyFill="1" applyFont="1">
      <alignment horizontal="center" vertical="bottom"/>
    </xf>
    <xf borderId="3" fillId="0" fontId="18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3" fillId="0" fontId="14" numFmtId="164" xfId="0" applyAlignment="1" applyBorder="1" applyFont="1" applyNumberFormat="1">
      <alignment horizontal="center" vertical="center"/>
    </xf>
    <xf borderId="3" fillId="0" fontId="19" numFmtId="165" xfId="0" applyAlignment="1" applyBorder="1" applyFont="1" applyNumberFormat="1">
      <alignment horizontal="center" vertical="bottom"/>
    </xf>
    <xf borderId="3" fillId="0" fontId="7" numFmtId="165" xfId="0" applyAlignment="1" applyBorder="1" applyFont="1" applyNumberFormat="1">
      <alignment readingOrder="0"/>
    </xf>
    <xf borderId="3" fillId="0" fontId="7" numFmtId="165" xfId="0" applyBorder="1" applyFont="1" applyNumberFormat="1"/>
    <xf borderId="3" fillId="0" fontId="7" numFmtId="10" xfId="0" applyAlignment="1" applyBorder="1" applyFont="1" applyNumberFormat="1">
      <alignment readingOrder="0"/>
    </xf>
    <xf borderId="3" fillId="5" fontId="8" numFmtId="0" xfId="0" applyAlignment="1" applyBorder="1" applyFill="1" applyFont="1">
      <alignment readingOrder="0"/>
    </xf>
    <xf borderId="3" fillId="0" fontId="19" numFmtId="164" xfId="0" applyAlignment="1" applyBorder="1" applyFont="1" applyNumberFormat="1">
      <alignment horizontal="center" vertical="bottom"/>
    </xf>
    <xf borderId="3" fillId="0" fontId="19" numFmtId="10" xfId="0" applyAlignment="1" applyBorder="1" applyFont="1" applyNumberFormat="1">
      <alignment horizontal="center" vertical="bottom"/>
    </xf>
    <xf borderId="3" fillId="0" fontId="19" numFmtId="0" xfId="0" applyAlignment="1" applyBorder="1" applyFont="1">
      <alignment vertical="bottom"/>
    </xf>
    <xf borderId="3" fillId="3" fontId="19" numFmtId="0" xfId="0" applyAlignment="1" applyBorder="1" applyFill="1" applyFont="1">
      <alignment horizontal="center" vertical="bottom"/>
    </xf>
    <xf borderId="3" fillId="3" fontId="19" numFmtId="165" xfId="0" applyAlignment="1" applyBorder="1" applyFill="1" applyFont="1" applyNumberFormat="1">
      <alignment horizontal="center" vertical="bottom"/>
    </xf>
    <xf borderId="3" fillId="3" fontId="19" numFmtId="164" xfId="0" applyAlignment="1" applyBorder="1" applyFill="1" applyFont="1" applyNumberFormat="1">
      <alignment horizontal="center" vertical="bottom"/>
    </xf>
    <xf borderId="3" fillId="3" fontId="19" numFmtId="10" xfId="0" applyAlignment="1" applyBorder="1" applyFill="1" applyFont="1" applyNumberFormat="1">
      <alignment horizontal="center" vertical="bottom"/>
    </xf>
    <xf borderId="3" fillId="6" fontId="19" numFmtId="0" xfId="0" applyAlignment="1" applyBorder="1" applyFill="1" applyFont="1">
      <alignment vertical="bottom"/>
    </xf>
    <xf borderId="3" fillId="6" fontId="19" numFmtId="0" xfId="0" applyAlignment="1" applyBorder="1" applyFill="1" applyFont="1">
      <alignment horizontal="center" vertical="bottom"/>
    </xf>
    <xf borderId="3" fillId="6" fontId="19" numFmtId="165" xfId="0" applyAlignment="1" applyBorder="1" applyFill="1" applyFont="1" applyNumberFormat="1">
      <alignment horizontal="center" vertical="bottom"/>
    </xf>
    <xf borderId="3" fillId="6" fontId="19" numFmtId="164" xfId="0" applyAlignment="1" applyBorder="1" applyFill="1" applyFont="1" applyNumberFormat="1">
      <alignment horizontal="center" vertical="bottom"/>
    </xf>
    <xf borderId="3" fillId="6" fontId="19" numFmtId="10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17.75"/>
    <col customWidth="1" min="3" max="3" width="21.38"/>
    <col customWidth="1" min="4" max="4" width="30.63"/>
    <col customWidth="1" min="5" max="5" width="21.38"/>
    <col customWidth="1" min="6" max="6" width="26.38"/>
    <col customWidth="1" min="7" max="7" width="18.88"/>
    <col customWidth="1" min="8" max="8" width="19.75"/>
  </cols>
  <sheetData>
    <row r="1">
      <c r="A1" s="1" t="s">
        <v>0</v>
      </c>
    </row>
    <row r="2">
      <c r="A2" s="2"/>
      <c r="B2" s="2"/>
    </row>
    <row r="3">
      <c r="A3" s="5" t="s">
        <v>1</v>
      </c>
      <c r="B3" s="7"/>
      <c r="E3" s="4" t="s">
        <v>2</v>
      </c>
    </row>
    <row r="4">
      <c r="A4" s="9" t="s">
        <v>4</v>
      </c>
      <c r="B4" s="12">
        <v>1.0E7</v>
      </c>
      <c r="D4" s="13"/>
      <c r="E4" s="8" t="s">
        <v>3</v>
      </c>
    </row>
    <row r="5">
      <c r="A5" s="9" t="s">
        <v>8</v>
      </c>
      <c r="B5" s="21">
        <f>B4*20%</f>
        <v>2000000</v>
      </c>
      <c r="E5" s="11" t="s">
        <v>6</v>
      </c>
    </row>
    <row r="6">
      <c r="A6" s="9" t="s">
        <v>13</v>
      </c>
      <c r="B6" s="23">
        <f>B4-B5</f>
        <v>8000000</v>
      </c>
      <c r="E6" s="11" t="s">
        <v>9</v>
      </c>
    </row>
    <row r="7">
      <c r="A7" s="9" t="s">
        <v>15</v>
      </c>
      <c r="B7" s="24">
        <v>0.0785</v>
      </c>
    </row>
    <row r="8">
      <c r="A8" s="9" t="s">
        <v>16</v>
      </c>
      <c r="B8" s="25">
        <v>20.0</v>
      </c>
    </row>
    <row r="9">
      <c r="A9" s="9" t="s">
        <v>21</v>
      </c>
      <c r="B9" s="26">
        <v>0.045</v>
      </c>
      <c r="E9" s="28" t="s">
        <v>22</v>
      </c>
    </row>
    <row r="10">
      <c r="A10" s="29" t="s">
        <v>23</v>
      </c>
      <c r="B10" s="32">
        <f>PMT($B$7/12,$B$8*12,-$B$6,,)</f>
        <v>66170.31556</v>
      </c>
    </row>
    <row r="11">
      <c r="A11" s="29" t="s">
        <v>25</v>
      </c>
      <c r="B11" s="35">
        <f>B10*12*20 </f>
        <v>15880875.74</v>
      </c>
      <c r="C11" s="36"/>
      <c r="G11" s="28"/>
    </row>
    <row r="12">
      <c r="A12" s="29" t="s">
        <v>29</v>
      </c>
      <c r="B12" s="37">
        <f>B5+B11</f>
        <v>17880875.74</v>
      </c>
    </row>
    <row r="13">
      <c r="G13" s="28"/>
    </row>
    <row r="14">
      <c r="A14" s="38" t="s">
        <v>32</v>
      </c>
      <c r="B14" s="38" t="s">
        <v>34</v>
      </c>
      <c r="C14" s="38" t="s">
        <v>35</v>
      </c>
      <c r="D14" s="38" t="s">
        <v>36</v>
      </c>
    </row>
    <row r="15">
      <c r="A15" s="39" t="s">
        <v>37</v>
      </c>
      <c r="B15" s="41">
        <f>B4*0.5/100</f>
        <v>50000</v>
      </c>
      <c r="C15" s="43">
        <v>0.05</v>
      </c>
      <c r="D15" s="46">
        <f>B15*((1+C15)^B8 - 1)/C15</f>
        <v>1653297.705</v>
      </c>
    </row>
    <row r="16">
      <c r="A16" s="39" t="s">
        <v>55</v>
      </c>
      <c r="B16" s="41">
        <f>B4*0.5%</f>
        <v>50000</v>
      </c>
      <c r="C16" s="43">
        <v>0.05</v>
      </c>
      <c r="D16" s="46">
        <f>B16*((1+C16)^B8 - 1)/C16</f>
        <v>1653297.705</v>
      </c>
    </row>
    <row r="17">
      <c r="A17" s="48" t="s">
        <v>56</v>
      </c>
      <c r="B17" s="41">
        <f>B4*0.1/100</f>
        <v>10000</v>
      </c>
      <c r="C17" s="43">
        <v>0.05</v>
      </c>
      <c r="D17" s="46">
        <f>B17*((1+C17)^B8 - 1)/C17</f>
        <v>330659.541</v>
      </c>
    </row>
    <row r="18">
      <c r="A18" s="39" t="s">
        <v>57</v>
      </c>
      <c r="B18" s="41">
        <v>850000.0</v>
      </c>
      <c r="C18" s="49" t="s">
        <v>58</v>
      </c>
      <c r="D18" s="46">
        <f>B18</f>
        <v>850000</v>
      </c>
    </row>
    <row r="19">
      <c r="A19" s="50" t="s">
        <v>60</v>
      </c>
      <c r="B19" s="51"/>
      <c r="C19" s="51"/>
      <c r="D19" s="54">
        <f>SUM(D15:D18)</f>
        <v>4487254.951</v>
      </c>
    </row>
    <row r="21">
      <c r="A21" s="5" t="s">
        <v>61</v>
      </c>
      <c r="B21" s="7"/>
    </row>
    <row r="22">
      <c r="A22" s="55" t="s">
        <v>62</v>
      </c>
      <c r="B22" s="54">
        <f>D19+B12</f>
        <v>22368130.69</v>
      </c>
    </row>
    <row r="23">
      <c r="A23" s="55" t="s">
        <v>63</v>
      </c>
      <c r="B23" s="54">
        <f> (B6+B5)*(1+B9)^B8</f>
        <v>24117140.25</v>
      </c>
    </row>
    <row r="24">
      <c r="A24" s="56" t="s">
        <v>64</v>
      </c>
      <c r="B24" s="58">
        <f>B23-B22</f>
        <v>1749009.562</v>
      </c>
    </row>
    <row r="25">
      <c r="A25" s="56" t="s">
        <v>66</v>
      </c>
      <c r="B25" s="59">
        <f>B24/B22</f>
        <v>0.07819203073</v>
      </c>
    </row>
    <row r="26">
      <c r="A26" s="60"/>
    </row>
    <row r="27">
      <c r="A27" s="63" t="s">
        <v>67</v>
      </c>
      <c r="B27" s="63" t="s">
        <v>68</v>
      </c>
      <c r="C27" s="63" t="s">
        <v>23</v>
      </c>
      <c r="D27" s="63" t="s">
        <v>69</v>
      </c>
      <c r="E27" s="63" t="s">
        <v>70</v>
      </c>
      <c r="F27" s="63" t="s">
        <v>71</v>
      </c>
      <c r="G27" s="64" t="s">
        <v>72</v>
      </c>
      <c r="H27" s="64" t="s">
        <v>73</v>
      </c>
    </row>
    <row r="28">
      <c r="A28" s="65">
        <v>1.0</v>
      </c>
      <c r="B28" s="66">
        <v>1.0</v>
      </c>
      <c r="C28" s="68">
        <f>B10</f>
        <v>66170.31556</v>
      </c>
      <c r="D28" s="68">
        <f t="shared" ref="D28:D267" si="1">IF($B28&lt;=$B$8*12,PPMT($B$7/12,$B28,$B$8*12,-$B$6,),0)</f>
        <v>13836.98223</v>
      </c>
      <c r="E28" s="68">
        <f t="shared" ref="E28:E267" si="2">IF($B28&lt;=$B$8*12,IPMT($B$7/12,$B28,$B$8*12,-$B$6,),0)</f>
        <v>52333.33333</v>
      </c>
      <c r="F28" s="73">
        <f>B6-D28</f>
        <v>7986163.018</v>
      </c>
      <c r="G28" s="74">
        <f t="shared" ref="G28:G267" si="3">D28/C28</f>
        <v>0.2091116252</v>
      </c>
      <c r="H28" s="74">
        <f t="shared" ref="H28:H267" si="4">1-G28</f>
        <v>0.7908883748</v>
      </c>
    </row>
    <row r="29">
      <c r="A29" s="75"/>
      <c r="B29" s="66">
        <f t="shared" ref="B29:B267" si="5">B28+1</f>
        <v>2</v>
      </c>
      <c r="C29" s="68">
        <f t="shared" ref="C29:C52" si="6">C28</f>
        <v>66170.31556</v>
      </c>
      <c r="D29" s="68">
        <f t="shared" si="1"/>
        <v>13927.49915</v>
      </c>
      <c r="E29" s="68">
        <f t="shared" si="2"/>
        <v>52242.81641</v>
      </c>
      <c r="F29" s="73">
        <f t="shared" ref="F29:F267" si="7">F28-D29</f>
        <v>7972235.519</v>
      </c>
      <c r="G29" s="74">
        <f t="shared" si="3"/>
        <v>0.2104795638</v>
      </c>
      <c r="H29" s="74">
        <f t="shared" si="4"/>
        <v>0.7895204362</v>
      </c>
    </row>
    <row r="30">
      <c r="A30" s="75"/>
      <c r="B30" s="66">
        <f t="shared" si="5"/>
        <v>3</v>
      </c>
      <c r="C30" s="68">
        <f t="shared" si="6"/>
        <v>66170.31556</v>
      </c>
      <c r="D30" s="68">
        <f t="shared" si="1"/>
        <v>14018.60821</v>
      </c>
      <c r="E30" s="68">
        <f t="shared" si="2"/>
        <v>52151.70735</v>
      </c>
      <c r="F30" s="73">
        <f t="shared" si="7"/>
        <v>7958216.91</v>
      </c>
      <c r="G30" s="74">
        <f t="shared" si="3"/>
        <v>0.2118564509</v>
      </c>
      <c r="H30" s="74">
        <f t="shared" si="4"/>
        <v>0.7881435491</v>
      </c>
    </row>
    <row r="31">
      <c r="A31" s="75"/>
      <c r="B31" s="66">
        <f t="shared" si="5"/>
        <v>4</v>
      </c>
      <c r="C31" s="68">
        <f t="shared" si="6"/>
        <v>66170.31556</v>
      </c>
      <c r="D31" s="68">
        <f t="shared" si="1"/>
        <v>14110.31327</v>
      </c>
      <c r="E31" s="68">
        <f t="shared" si="2"/>
        <v>52060.00229</v>
      </c>
      <c r="F31" s="73">
        <f t="shared" si="7"/>
        <v>7944106.597</v>
      </c>
      <c r="G31" s="74">
        <f t="shared" si="3"/>
        <v>0.2132423452</v>
      </c>
      <c r="H31" s="74">
        <f t="shared" si="4"/>
        <v>0.7867576548</v>
      </c>
    </row>
    <row r="32">
      <c r="A32" s="75"/>
      <c r="B32" s="66">
        <f t="shared" si="5"/>
        <v>5</v>
      </c>
      <c r="C32" s="68">
        <f t="shared" si="6"/>
        <v>66170.31556</v>
      </c>
      <c r="D32" s="68">
        <f t="shared" si="1"/>
        <v>14202.61824</v>
      </c>
      <c r="E32" s="68">
        <f t="shared" si="2"/>
        <v>51967.69732</v>
      </c>
      <c r="F32" s="73">
        <f t="shared" si="7"/>
        <v>7929903.979</v>
      </c>
      <c r="G32" s="74">
        <f t="shared" si="3"/>
        <v>0.2146373056</v>
      </c>
      <c r="H32" s="74">
        <f t="shared" si="4"/>
        <v>0.7853626944</v>
      </c>
    </row>
    <row r="33">
      <c r="A33" s="75"/>
      <c r="B33" s="66">
        <f t="shared" si="5"/>
        <v>6</v>
      </c>
      <c r="C33" s="68">
        <f t="shared" si="6"/>
        <v>66170.31556</v>
      </c>
      <c r="D33" s="68">
        <f t="shared" si="1"/>
        <v>14295.52703</v>
      </c>
      <c r="E33" s="68">
        <f t="shared" si="2"/>
        <v>51874.78853</v>
      </c>
      <c r="F33" s="73">
        <f t="shared" si="7"/>
        <v>7915608.452</v>
      </c>
      <c r="G33" s="74">
        <f t="shared" si="3"/>
        <v>0.2160413913</v>
      </c>
      <c r="H33" s="74">
        <f t="shared" si="4"/>
        <v>0.7839586087</v>
      </c>
    </row>
    <row r="34">
      <c r="A34" s="75"/>
      <c r="B34" s="66">
        <f t="shared" si="5"/>
        <v>7</v>
      </c>
      <c r="C34" s="68">
        <f t="shared" si="6"/>
        <v>66170.31556</v>
      </c>
      <c r="D34" s="68">
        <f t="shared" si="1"/>
        <v>14389.04361</v>
      </c>
      <c r="E34" s="68">
        <f t="shared" si="2"/>
        <v>51781.27196</v>
      </c>
      <c r="F34" s="73">
        <f t="shared" si="7"/>
        <v>7901219.408</v>
      </c>
      <c r="G34" s="74">
        <f t="shared" si="3"/>
        <v>0.217454662</v>
      </c>
      <c r="H34" s="74">
        <f t="shared" si="4"/>
        <v>0.782545338</v>
      </c>
    </row>
    <row r="35">
      <c r="A35" s="75"/>
      <c r="B35" s="66">
        <f t="shared" si="5"/>
        <v>8</v>
      </c>
      <c r="C35" s="68">
        <f t="shared" si="6"/>
        <v>66170.31556</v>
      </c>
      <c r="D35" s="68">
        <f t="shared" si="1"/>
        <v>14483.17193</v>
      </c>
      <c r="E35" s="68">
        <f t="shared" si="2"/>
        <v>51687.14363</v>
      </c>
      <c r="F35" s="73">
        <f t="shared" si="7"/>
        <v>7886736.236</v>
      </c>
      <c r="G35" s="74">
        <f t="shared" si="3"/>
        <v>0.2188771779</v>
      </c>
      <c r="H35" s="74">
        <f t="shared" si="4"/>
        <v>0.7811228221</v>
      </c>
    </row>
    <row r="36">
      <c r="A36" s="75"/>
      <c r="B36" s="66">
        <f t="shared" si="5"/>
        <v>9</v>
      </c>
      <c r="C36" s="68">
        <f t="shared" si="6"/>
        <v>66170.31556</v>
      </c>
      <c r="D36" s="68">
        <f t="shared" si="1"/>
        <v>14577.91602</v>
      </c>
      <c r="E36" s="68">
        <f t="shared" si="2"/>
        <v>51592.39955</v>
      </c>
      <c r="F36" s="73">
        <f t="shared" si="7"/>
        <v>7872158.32</v>
      </c>
      <c r="G36" s="74">
        <f t="shared" si="3"/>
        <v>0.2203089995</v>
      </c>
      <c r="H36" s="74">
        <f t="shared" si="4"/>
        <v>0.7796910005</v>
      </c>
    </row>
    <row r="37">
      <c r="A37" s="75"/>
      <c r="B37" s="66">
        <f t="shared" si="5"/>
        <v>10</v>
      </c>
      <c r="C37" s="68">
        <f t="shared" si="6"/>
        <v>66170.31556</v>
      </c>
      <c r="D37" s="68">
        <f t="shared" si="1"/>
        <v>14673.27988</v>
      </c>
      <c r="E37" s="68">
        <f t="shared" si="2"/>
        <v>51497.03568</v>
      </c>
      <c r="F37" s="73">
        <f t="shared" si="7"/>
        <v>7857485.04</v>
      </c>
      <c r="G37" s="74">
        <f t="shared" si="3"/>
        <v>0.2217501875</v>
      </c>
      <c r="H37" s="74">
        <f t="shared" si="4"/>
        <v>0.7782498125</v>
      </c>
    </row>
    <row r="38">
      <c r="A38" s="75"/>
      <c r="B38" s="66">
        <f t="shared" si="5"/>
        <v>11</v>
      </c>
      <c r="C38" s="68">
        <f t="shared" si="6"/>
        <v>66170.31556</v>
      </c>
      <c r="D38" s="68">
        <f t="shared" si="1"/>
        <v>14769.26759</v>
      </c>
      <c r="E38" s="68">
        <f t="shared" si="2"/>
        <v>51401.04797</v>
      </c>
      <c r="F38" s="73">
        <f t="shared" si="7"/>
        <v>7842715.773</v>
      </c>
      <c r="G38" s="74">
        <f t="shared" si="3"/>
        <v>0.2232008033</v>
      </c>
      <c r="H38" s="74">
        <f t="shared" si="4"/>
        <v>0.7767991967</v>
      </c>
    </row>
    <row r="39">
      <c r="A39" s="75"/>
      <c r="B39" s="66">
        <f t="shared" si="5"/>
        <v>12</v>
      </c>
      <c r="C39" s="68">
        <f t="shared" si="6"/>
        <v>66170.31556</v>
      </c>
      <c r="D39" s="68">
        <f t="shared" si="1"/>
        <v>14865.88322</v>
      </c>
      <c r="E39" s="68">
        <f t="shared" si="2"/>
        <v>51304.43235</v>
      </c>
      <c r="F39" s="73">
        <f t="shared" si="7"/>
        <v>7827849.89</v>
      </c>
      <c r="G39" s="74">
        <f t="shared" si="3"/>
        <v>0.2246609086</v>
      </c>
      <c r="H39" s="74">
        <f t="shared" si="4"/>
        <v>0.7753390914</v>
      </c>
    </row>
    <row r="40">
      <c r="A40" s="65">
        <v>2.0</v>
      </c>
      <c r="B40" s="66">
        <f t="shared" si="5"/>
        <v>13</v>
      </c>
      <c r="C40" s="68">
        <f t="shared" si="6"/>
        <v>66170.31556</v>
      </c>
      <c r="D40" s="68">
        <f t="shared" si="1"/>
        <v>14963.13087</v>
      </c>
      <c r="E40" s="68">
        <f t="shared" si="2"/>
        <v>51207.18469</v>
      </c>
      <c r="F40" s="73">
        <f t="shared" si="7"/>
        <v>7812886.759</v>
      </c>
      <c r="G40" s="74">
        <f t="shared" si="3"/>
        <v>0.2261305654</v>
      </c>
      <c r="H40" s="74">
        <f t="shared" si="4"/>
        <v>0.7738694346</v>
      </c>
    </row>
    <row r="41">
      <c r="A41" s="75"/>
      <c r="B41" s="66">
        <f t="shared" si="5"/>
        <v>14</v>
      </c>
      <c r="C41" s="68">
        <f t="shared" si="6"/>
        <v>66170.31556</v>
      </c>
      <c r="D41" s="68">
        <f t="shared" si="1"/>
        <v>15061.01468</v>
      </c>
      <c r="E41" s="68">
        <f t="shared" si="2"/>
        <v>51109.30088</v>
      </c>
      <c r="F41" s="73">
        <f t="shared" si="7"/>
        <v>7797825.744</v>
      </c>
      <c r="G41" s="74">
        <f t="shared" si="3"/>
        <v>0.2276098361</v>
      </c>
      <c r="H41" s="74">
        <f t="shared" si="4"/>
        <v>0.7723901639</v>
      </c>
    </row>
    <row r="42">
      <c r="A42" s="75"/>
      <c r="B42" s="66">
        <f t="shared" si="5"/>
        <v>15</v>
      </c>
      <c r="C42" s="68">
        <f t="shared" si="6"/>
        <v>66170.31556</v>
      </c>
      <c r="D42" s="68">
        <f t="shared" si="1"/>
        <v>15159.53882</v>
      </c>
      <c r="E42" s="68">
        <f t="shared" si="2"/>
        <v>51010.77674</v>
      </c>
      <c r="F42" s="73">
        <f t="shared" si="7"/>
        <v>7782666.205</v>
      </c>
      <c r="G42" s="74">
        <f t="shared" si="3"/>
        <v>0.2290987838</v>
      </c>
      <c r="H42" s="74">
        <f t="shared" si="4"/>
        <v>0.7709012162</v>
      </c>
    </row>
    <row r="43">
      <c r="A43" s="75"/>
      <c r="B43" s="66">
        <f t="shared" si="5"/>
        <v>16</v>
      </c>
      <c r="C43" s="68">
        <f t="shared" si="6"/>
        <v>66170.31556</v>
      </c>
      <c r="D43" s="68">
        <f t="shared" si="1"/>
        <v>15258.70747</v>
      </c>
      <c r="E43" s="68">
        <f t="shared" si="2"/>
        <v>50911.60809</v>
      </c>
      <c r="F43" s="73">
        <f t="shared" si="7"/>
        <v>7767407.498</v>
      </c>
      <c r="G43" s="74">
        <f t="shared" si="3"/>
        <v>0.2305974717</v>
      </c>
      <c r="H43" s="74">
        <f t="shared" si="4"/>
        <v>0.7694025283</v>
      </c>
    </row>
    <row r="44">
      <c r="A44" s="75"/>
      <c r="B44" s="66">
        <f t="shared" si="5"/>
        <v>17</v>
      </c>
      <c r="C44" s="68">
        <f t="shared" si="6"/>
        <v>66170.31556</v>
      </c>
      <c r="D44" s="68">
        <f t="shared" si="1"/>
        <v>15358.52485</v>
      </c>
      <c r="E44" s="68">
        <f t="shared" si="2"/>
        <v>50811.79071</v>
      </c>
      <c r="F44" s="73">
        <f t="shared" si="7"/>
        <v>7752048.973</v>
      </c>
      <c r="G44" s="74">
        <f t="shared" si="3"/>
        <v>0.2321059635</v>
      </c>
      <c r="H44" s="74">
        <f t="shared" si="4"/>
        <v>0.7678940365</v>
      </c>
    </row>
    <row r="45">
      <c r="A45" s="75"/>
      <c r="B45" s="66">
        <f t="shared" si="5"/>
        <v>18</v>
      </c>
      <c r="C45" s="68">
        <f t="shared" si="6"/>
        <v>66170.31556</v>
      </c>
      <c r="D45" s="68">
        <f t="shared" si="1"/>
        <v>15458.9952</v>
      </c>
      <c r="E45" s="68">
        <f t="shared" si="2"/>
        <v>50711.32036</v>
      </c>
      <c r="F45" s="73">
        <f t="shared" si="7"/>
        <v>7736589.978</v>
      </c>
      <c r="G45" s="74">
        <f t="shared" si="3"/>
        <v>0.2336243233</v>
      </c>
      <c r="H45" s="74">
        <f t="shared" si="4"/>
        <v>0.7663756767</v>
      </c>
    </row>
    <row r="46">
      <c r="A46" s="75"/>
      <c r="B46" s="66">
        <f t="shared" si="5"/>
        <v>19</v>
      </c>
      <c r="C46" s="68">
        <f t="shared" si="6"/>
        <v>66170.31556</v>
      </c>
      <c r="D46" s="68">
        <f t="shared" si="1"/>
        <v>15560.12279</v>
      </c>
      <c r="E46" s="68">
        <f t="shared" si="2"/>
        <v>50610.19277</v>
      </c>
      <c r="F46" s="73">
        <f t="shared" si="7"/>
        <v>7721029.855</v>
      </c>
      <c r="G46" s="74">
        <f t="shared" si="3"/>
        <v>0.2351526158</v>
      </c>
      <c r="H46" s="74">
        <f t="shared" si="4"/>
        <v>0.7648473842</v>
      </c>
    </row>
    <row r="47">
      <c r="A47" s="75"/>
      <c r="B47" s="66">
        <f t="shared" si="5"/>
        <v>20</v>
      </c>
      <c r="C47" s="68">
        <f t="shared" si="6"/>
        <v>66170.31556</v>
      </c>
      <c r="D47" s="68">
        <f t="shared" si="1"/>
        <v>15661.91193</v>
      </c>
      <c r="E47" s="68">
        <f t="shared" si="2"/>
        <v>50508.40363</v>
      </c>
      <c r="F47" s="73">
        <f t="shared" si="7"/>
        <v>7705367.943</v>
      </c>
      <c r="G47" s="74">
        <f t="shared" si="3"/>
        <v>0.2366909058</v>
      </c>
      <c r="H47" s="74">
        <f t="shared" si="4"/>
        <v>0.7633090942</v>
      </c>
    </row>
    <row r="48">
      <c r="A48" s="75"/>
      <c r="B48" s="66">
        <f t="shared" si="5"/>
        <v>21</v>
      </c>
      <c r="C48" s="68">
        <f t="shared" si="6"/>
        <v>66170.31556</v>
      </c>
      <c r="D48" s="68">
        <f t="shared" si="1"/>
        <v>15764.36694</v>
      </c>
      <c r="E48" s="68">
        <f t="shared" si="2"/>
        <v>50405.94863</v>
      </c>
      <c r="F48" s="73">
        <f t="shared" si="7"/>
        <v>7689603.576</v>
      </c>
      <c r="G48" s="74">
        <f t="shared" si="3"/>
        <v>0.2382392588</v>
      </c>
      <c r="H48" s="74">
        <f t="shared" si="4"/>
        <v>0.7617607412</v>
      </c>
    </row>
    <row r="49">
      <c r="A49" s="75"/>
      <c r="B49" s="66">
        <f t="shared" si="5"/>
        <v>22</v>
      </c>
      <c r="C49" s="68">
        <f t="shared" si="6"/>
        <v>66170.31556</v>
      </c>
      <c r="D49" s="68">
        <f t="shared" si="1"/>
        <v>15867.49217</v>
      </c>
      <c r="E49" s="68">
        <f t="shared" si="2"/>
        <v>50302.82339</v>
      </c>
      <c r="F49" s="73">
        <f t="shared" si="7"/>
        <v>7673736.084</v>
      </c>
      <c r="G49" s="74">
        <f t="shared" si="3"/>
        <v>0.2397977406</v>
      </c>
      <c r="H49" s="74">
        <f t="shared" si="4"/>
        <v>0.7602022594</v>
      </c>
    </row>
    <row r="50">
      <c r="A50" s="75"/>
      <c r="B50" s="66">
        <f t="shared" si="5"/>
        <v>23</v>
      </c>
      <c r="C50" s="68">
        <f t="shared" si="6"/>
        <v>66170.31556</v>
      </c>
      <c r="D50" s="68">
        <f t="shared" si="1"/>
        <v>15971.29201</v>
      </c>
      <c r="E50" s="68">
        <f t="shared" si="2"/>
        <v>50199.02355</v>
      </c>
      <c r="F50" s="73">
        <f t="shared" si="7"/>
        <v>7657764.792</v>
      </c>
      <c r="G50" s="74">
        <f t="shared" si="3"/>
        <v>0.2413664175</v>
      </c>
      <c r="H50" s="74">
        <f t="shared" si="4"/>
        <v>0.7586335825</v>
      </c>
    </row>
    <row r="51">
      <c r="A51" s="75"/>
      <c r="B51" s="66">
        <f t="shared" si="5"/>
        <v>24</v>
      </c>
      <c r="C51" s="68">
        <f t="shared" si="6"/>
        <v>66170.31556</v>
      </c>
      <c r="D51" s="68">
        <f t="shared" si="1"/>
        <v>16075.77088</v>
      </c>
      <c r="E51" s="68">
        <f t="shared" si="2"/>
        <v>50094.54468</v>
      </c>
      <c r="F51" s="73">
        <f t="shared" si="7"/>
        <v>7641689.021</v>
      </c>
      <c r="G51" s="74">
        <f t="shared" si="3"/>
        <v>0.2429453562</v>
      </c>
      <c r="H51" s="74">
        <f t="shared" si="4"/>
        <v>0.7570546438</v>
      </c>
    </row>
    <row r="52">
      <c r="A52" s="65">
        <v>3.0</v>
      </c>
      <c r="B52" s="66">
        <f t="shared" si="5"/>
        <v>25</v>
      </c>
      <c r="C52" s="68">
        <f t="shared" si="6"/>
        <v>66170.31556</v>
      </c>
      <c r="D52" s="68">
        <f t="shared" si="1"/>
        <v>16180.93322</v>
      </c>
      <c r="E52" s="68">
        <f t="shared" si="2"/>
        <v>49989.38235</v>
      </c>
      <c r="F52" s="73">
        <f t="shared" si="7"/>
        <v>7625508.088</v>
      </c>
      <c r="G52" s="74">
        <f t="shared" si="3"/>
        <v>0.2445346237</v>
      </c>
      <c r="H52" s="74">
        <f t="shared" si="4"/>
        <v>0.7554653763</v>
      </c>
    </row>
    <row r="53">
      <c r="A53" s="75"/>
      <c r="B53" s="66">
        <f t="shared" si="5"/>
        <v>26</v>
      </c>
      <c r="C53" s="68">
        <f t="shared" ref="C53:C267" si="8">C35</f>
        <v>66170.31556</v>
      </c>
      <c r="D53" s="68">
        <f t="shared" si="1"/>
        <v>16286.78349</v>
      </c>
      <c r="E53" s="68">
        <f t="shared" si="2"/>
        <v>49883.53207</v>
      </c>
      <c r="F53" s="73">
        <f t="shared" si="7"/>
        <v>7609221.304</v>
      </c>
      <c r="G53" s="74">
        <f t="shared" si="3"/>
        <v>0.2461342877</v>
      </c>
      <c r="H53" s="74">
        <f t="shared" si="4"/>
        <v>0.7538657123</v>
      </c>
    </row>
    <row r="54">
      <c r="A54" s="75"/>
      <c r="B54" s="66">
        <f t="shared" si="5"/>
        <v>27</v>
      </c>
      <c r="C54" s="68">
        <f t="shared" si="8"/>
        <v>66170.31556</v>
      </c>
      <c r="D54" s="68">
        <f t="shared" si="1"/>
        <v>16393.3262</v>
      </c>
      <c r="E54" s="68">
        <f t="shared" si="2"/>
        <v>49776.98937</v>
      </c>
      <c r="F54" s="73">
        <f t="shared" si="7"/>
        <v>7592827.978</v>
      </c>
      <c r="G54" s="74">
        <f t="shared" si="3"/>
        <v>0.2477444162</v>
      </c>
      <c r="H54" s="74">
        <f t="shared" si="4"/>
        <v>0.7522555838</v>
      </c>
    </row>
    <row r="55">
      <c r="A55" s="75"/>
      <c r="B55" s="66">
        <f t="shared" si="5"/>
        <v>28</v>
      </c>
      <c r="C55" s="68">
        <f t="shared" si="8"/>
        <v>66170.31556</v>
      </c>
      <c r="D55" s="68">
        <f t="shared" si="1"/>
        <v>16500.56587</v>
      </c>
      <c r="E55" s="68">
        <f t="shared" si="2"/>
        <v>49669.74969</v>
      </c>
      <c r="F55" s="73">
        <f t="shared" si="7"/>
        <v>7576327.412</v>
      </c>
      <c r="G55" s="74">
        <f t="shared" si="3"/>
        <v>0.2493650776</v>
      </c>
      <c r="H55" s="74">
        <f t="shared" si="4"/>
        <v>0.7506349224</v>
      </c>
    </row>
    <row r="56">
      <c r="A56" s="75"/>
      <c r="B56" s="66">
        <f t="shared" si="5"/>
        <v>29</v>
      </c>
      <c r="C56" s="68">
        <f t="shared" si="8"/>
        <v>66170.31556</v>
      </c>
      <c r="D56" s="68">
        <f t="shared" si="1"/>
        <v>16608.50707</v>
      </c>
      <c r="E56" s="68">
        <f t="shared" si="2"/>
        <v>49561.80849</v>
      </c>
      <c r="F56" s="73">
        <f t="shared" si="7"/>
        <v>7559718.905</v>
      </c>
      <c r="G56" s="74">
        <f t="shared" si="3"/>
        <v>0.2509963408</v>
      </c>
      <c r="H56" s="74">
        <f t="shared" si="4"/>
        <v>0.7490036592</v>
      </c>
    </row>
    <row r="57">
      <c r="A57" s="75"/>
      <c r="B57" s="66">
        <f t="shared" si="5"/>
        <v>30</v>
      </c>
      <c r="C57" s="68">
        <f t="shared" si="8"/>
        <v>66170.31556</v>
      </c>
      <c r="D57" s="68">
        <f t="shared" si="1"/>
        <v>16717.15439</v>
      </c>
      <c r="E57" s="68">
        <f t="shared" si="2"/>
        <v>49453.16117</v>
      </c>
      <c r="F57" s="73">
        <f t="shared" si="7"/>
        <v>7543001.751</v>
      </c>
      <c r="G57" s="74">
        <f t="shared" si="3"/>
        <v>0.2526382752</v>
      </c>
      <c r="H57" s="74">
        <f t="shared" si="4"/>
        <v>0.7473617248</v>
      </c>
    </row>
    <row r="58">
      <c r="A58" s="75"/>
      <c r="B58" s="66">
        <f t="shared" si="5"/>
        <v>31</v>
      </c>
      <c r="C58" s="68">
        <f t="shared" si="8"/>
        <v>66170.31556</v>
      </c>
      <c r="D58" s="68">
        <f t="shared" si="1"/>
        <v>16826.51244</v>
      </c>
      <c r="E58" s="68">
        <f t="shared" si="2"/>
        <v>49343.80312</v>
      </c>
      <c r="F58" s="73">
        <f t="shared" si="7"/>
        <v>7526175.238</v>
      </c>
      <c r="G58" s="74">
        <f t="shared" si="3"/>
        <v>0.2542909506</v>
      </c>
      <c r="H58" s="74">
        <f t="shared" si="4"/>
        <v>0.7457090494</v>
      </c>
    </row>
    <row r="59">
      <c r="A59" s="75"/>
      <c r="B59" s="66">
        <f t="shared" si="5"/>
        <v>32</v>
      </c>
      <c r="C59" s="68">
        <f t="shared" si="8"/>
        <v>66170.31556</v>
      </c>
      <c r="D59" s="68">
        <f t="shared" si="1"/>
        <v>16936.58588</v>
      </c>
      <c r="E59" s="68">
        <f t="shared" si="2"/>
        <v>49233.72968</v>
      </c>
      <c r="F59" s="73">
        <f t="shared" si="7"/>
        <v>7509238.652</v>
      </c>
      <c r="G59" s="74">
        <f t="shared" si="3"/>
        <v>0.2559544372</v>
      </c>
      <c r="H59" s="74">
        <f t="shared" si="4"/>
        <v>0.7440455628</v>
      </c>
    </row>
    <row r="60">
      <c r="A60" s="75"/>
      <c r="B60" s="66">
        <f t="shared" si="5"/>
        <v>33</v>
      </c>
      <c r="C60" s="68">
        <f t="shared" si="8"/>
        <v>66170.31556</v>
      </c>
      <c r="D60" s="68">
        <f t="shared" si="1"/>
        <v>17047.37938</v>
      </c>
      <c r="E60" s="68">
        <f t="shared" si="2"/>
        <v>49122.93618</v>
      </c>
      <c r="F60" s="73">
        <f t="shared" si="7"/>
        <v>7492191.273</v>
      </c>
      <c r="G60" s="74">
        <f t="shared" si="3"/>
        <v>0.2576288058</v>
      </c>
      <c r="H60" s="74">
        <f t="shared" si="4"/>
        <v>0.7423711942</v>
      </c>
    </row>
    <row r="61">
      <c r="A61" s="75"/>
      <c r="B61" s="66">
        <f t="shared" si="5"/>
        <v>34</v>
      </c>
      <c r="C61" s="68">
        <f t="shared" si="8"/>
        <v>66170.31556</v>
      </c>
      <c r="D61" s="68">
        <f t="shared" si="1"/>
        <v>17158.89765</v>
      </c>
      <c r="E61" s="68">
        <f t="shared" si="2"/>
        <v>49011.41791</v>
      </c>
      <c r="F61" s="73">
        <f t="shared" si="7"/>
        <v>7475032.375</v>
      </c>
      <c r="G61" s="74">
        <f t="shared" si="3"/>
        <v>0.2593141276</v>
      </c>
      <c r="H61" s="74">
        <f t="shared" si="4"/>
        <v>0.7406858724</v>
      </c>
    </row>
    <row r="62">
      <c r="A62" s="75"/>
      <c r="B62" s="66">
        <f t="shared" si="5"/>
        <v>35</v>
      </c>
      <c r="C62" s="68">
        <f t="shared" si="8"/>
        <v>66170.31556</v>
      </c>
      <c r="D62" s="68">
        <f t="shared" si="1"/>
        <v>17271.14544</v>
      </c>
      <c r="E62" s="68">
        <f t="shared" si="2"/>
        <v>48899.17012</v>
      </c>
      <c r="F62" s="73">
        <f t="shared" si="7"/>
        <v>7457761.23</v>
      </c>
      <c r="G62" s="74">
        <f t="shared" si="3"/>
        <v>0.2610104742</v>
      </c>
      <c r="H62" s="74">
        <f t="shared" si="4"/>
        <v>0.7389895258</v>
      </c>
    </row>
    <row r="63">
      <c r="A63" s="75"/>
      <c r="B63" s="66">
        <f t="shared" si="5"/>
        <v>36</v>
      </c>
      <c r="C63" s="68">
        <f t="shared" si="8"/>
        <v>66170.31556</v>
      </c>
      <c r="D63" s="68">
        <f t="shared" si="1"/>
        <v>17384.12752</v>
      </c>
      <c r="E63" s="68">
        <f t="shared" si="2"/>
        <v>48786.18805</v>
      </c>
      <c r="F63" s="73">
        <f t="shared" si="7"/>
        <v>7440377.102</v>
      </c>
      <c r="G63" s="74">
        <f t="shared" si="3"/>
        <v>0.2627179177</v>
      </c>
      <c r="H63" s="74">
        <f t="shared" si="4"/>
        <v>0.7372820823</v>
      </c>
    </row>
    <row r="64">
      <c r="A64" s="65">
        <v>4.0</v>
      </c>
      <c r="B64" s="66">
        <f t="shared" si="5"/>
        <v>37</v>
      </c>
      <c r="C64" s="68">
        <f t="shared" si="8"/>
        <v>66170.31556</v>
      </c>
      <c r="D64" s="68">
        <f t="shared" si="1"/>
        <v>17497.84868</v>
      </c>
      <c r="E64" s="68">
        <f t="shared" si="2"/>
        <v>48672.46688</v>
      </c>
      <c r="F64" s="73">
        <f t="shared" si="7"/>
        <v>7422879.254</v>
      </c>
      <c r="G64" s="74">
        <f t="shared" si="3"/>
        <v>0.2644365307</v>
      </c>
      <c r="H64" s="74">
        <f t="shared" si="4"/>
        <v>0.7355634693</v>
      </c>
    </row>
    <row r="65">
      <c r="A65" s="75"/>
      <c r="B65" s="66">
        <f t="shared" si="5"/>
        <v>38</v>
      </c>
      <c r="C65" s="68">
        <f t="shared" si="8"/>
        <v>66170.31556</v>
      </c>
      <c r="D65" s="68">
        <f t="shared" si="1"/>
        <v>17612.31378</v>
      </c>
      <c r="E65" s="68">
        <f t="shared" si="2"/>
        <v>48558.00179</v>
      </c>
      <c r="F65" s="73">
        <f t="shared" si="7"/>
        <v>7405266.94</v>
      </c>
      <c r="G65" s="74">
        <f t="shared" si="3"/>
        <v>0.2661663864</v>
      </c>
      <c r="H65" s="74">
        <f t="shared" si="4"/>
        <v>0.7338336136</v>
      </c>
    </row>
    <row r="66">
      <c r="A66" s="75"/>
      <c r="B66" s="66">
        <f t="shared" si="5"/>
        <v>39</v>
      </c>
      <c r="C66" s="68">
        <f t="shared" si="8"/>
        <v>66170.31556</v>
      </c>
      <c r="D66" s="68">
        <f t="shared" si="1"/>
        <v>17727.52766</v>
      </c>
      <c r="E66" s="68">
        <f t="shared" si="2"/>
        <v>48442.7879</v>
      </c>
      <c r="F66" s="73">
        <f t="shared" si="7"/>
        <v>7387539.412</v>
      </c>
      <c r="G66" s="74">
        <f t="shared" si="3"/>
        <v>0.2679075581</v>
      </c>
      <c r="H66" s="74">
        <f t="shared" si="4"/>
        <v>0.7320924419</v>
      </c>
    </row>
    <row r="67">
      <c r="A67" s="75"/>
      <c r="B67" s="66">
        <f t="shared" si="5"/>
        <v>40</v>
      </c>
      <c r="C67" s="68">
        <f t="shared" si="8"/>
        <v>66170.31556</v>
      </c>
      <c r="D67" s="68">
        <f t="shared" si="1"/>
        <v>17843.49524</v>
      </c>
      <c r="E67" s="68">
        <f t="shared" si="2"/>
        <v>48326.82032</v>
      </c>
      <c r="F67" s="73">
        <f t="shared" si="7"/>
        <v>7369695.917</v>
      </c>
      <c r="G67" s="74">
        <f t="shared" si="3"/>
        <v>0.2696601201</v>
      </c>
      <c r="H67" s="74">
        <f t="shared" si="4"/>
        <v>0.7303398799</v>
      </c>
    </row>
    <row r="68">
      <c r="A68" s="75"/>
      <c r="B68" s="66">
        <f t="shared" si="5"/>
        <v>41</v>
      </c>
      <c r="C68" s="68">
        <f t="shared" si="8"/>
        <v>66170.31556</v>
      </c>
      <c r="D68" s="68">
        <f t="shared" si="1"/>
        <v>17960.22144</v>
      </c>
      <c r="E68" s="68">
        <f t="shared" si="2"/>
        <v>48210.09412</v>
      </c>
      <c r="F68" s="73">
        <f t="shared" si="7"/>
        <v>7351735.696</v>
      </c>
      <c r="G68" s="74">
        <f t="shared" si="3"/>
        <v>0.2714241467</v>
      </c>
      <c r="H68" s="74">
        <f t="shared" si="4"/>
        <v>0.7285758533</v>
      </c>
    </row>
    <row r="69">
      <c r="A69" s="75"/>
      <c r="B69" s="66">
        <f t="shared" si="5"/>
        <v>42</v>
      </c>
      <c r="C69" s="68">
        <f t="shared" si="8"/>
        <v>66170.31556</v>
      </c>
      <c r="D69" s="68">
        <f t="shared" si="1"/>
        <v>18077.71122</v>
      </c>
      <c r="E69" s="68">
        <f t="shared" si="2"/>
        <v>48092.60434</v>
      </c>
      <c r="F69" s="73">
        <f t="shared" si="7"/>
        <v>7333657.984</v>
      </c>
      <c r="G69" s="74">
        <f t="shared" si="3"/>
        <v>0.273199713</v>
      </c>
      <c r="H69" s="74">
        <f t="shared" si="4"/>
        <v>0.726800287</v>
      </c>
    </row>
    <row r="70">
      <c r="A70" s="75"/>
      <c r="B70" s="66">
        <f t="shared" si="5"/>
        <v>43</v>
      </c>
      <c r="C70" s="68">
        <f t="shared" si="8"/>
        <v>66170.31556</v>
      </c>
      <c r="D70" s="68">
        <f t="shared" si="1"/>
        <v>18195.96958</v>
      </c>
      <c r="E70" s="68">
        <f t="shared" si="2"/>
        <v>47974.34598</v>
      </c>
      <c r="F70" s="73">
        <f t="shared" si="7"/>
        <v>7315462.015</v>
      </c>
      <c r="G70" s="74">
        <f t="shared" si="3"/>
        <v>0.2749868944</v>
      </c>
      <c r="H70" s="74">
        <f t="shared" si="4"/>
        <v>0.7250131056</v>
      </c>
    </row>
    <row r="71">
      <c r="A71" s="75"/>
      <c r="B71" s="66">
        <f t="shared" si="5"/>
        <v>44</v>
      </c>
      <c r="C71" s="68">
        <f t="shared" si="8"/>
        <v>66170.31556</v>
      </c>
      <c r="D71" s="68">
        <f t="shared" si="1"/>
        <v>18315.00155</v>
      </c>
      <c r="E71" s="68">
        <f t="shared" si="2"/>
        <v>47855.31401</v>
      </c>
      <c r="F71" s="73">
        <f t="shared" si="7"/>
        <v>7297147.013</v>
      </c>
      <c r="G71" s="74">
        <f t="shared" si="3"/>
        <v>0.2767857671</v>
      </c>
      <c r="H71" s="74">
        <f t="shared" si="4"/>
        <v>0.7232142329</v>
      </c>
    </row>
    <row r="72">
      <c r="A72" s="75"/>
      <c r="B72" s="66">
        <f t="shared" si="5"/>
        <v>45</v>
      </c>
      <c r="C72" s="68">
        <f t="shared" si="8"/>
        <v>66170.31556</v>
      </c>
      <c r="D72" s="68">
        <f t="shared" si="1"/>
        <v>18434.81218</v>
      </c>
      <c r="E72" s="68">
        <f t="shared" si="2"/>
        <v>47735.50338</v>
      </c>
      <c r="F72" s="73">
        <f t="shared" si="7"/>
        <v>7278712.201</v>
      </c>
      <c r="G72" s="74">
        <f t="shared" si="3"/>
        <v>0.2785964073</v>
      </c>
      <c r="H72" s="74">
        <f t="shared" si="4"/>
        <v>0.7214035927</v>
      </c>
    </row>
    <row r="73">
      <c r="A73" s="75"/>
      <c r="B73" s="66">
        <f t="shared" si="5"/>
        <v>46</v>
      </c>
      <c r="C73" s="68">
        <f t="shared" si="8"/>
        <v>66170.31556</v>
      </c>
      <c r="D73" s="68">
        <f t="shared" si="1"/>
        <v>18555.40658</v>
      </c>
      <c r="E73" s="68">
        <f t="shared" si="2"/>
        <v>47614.90898</v>
      </c>
      <c r="F73" s="73">
        <f t="shared" si="7"/>
        <v>7260156.795</v>
      </c>
      <c r="G73" s="74">
        <f t="shared" si="3"/>
        <v>0.2804188921</v>
      </c>
      <c r="H73" s="74">
        <f t="shared" si="4"/>
        <v>0.7195811079</v>
      </c>
    </row>
    <row r="74">
      <c r="A74" s="75"/>
      <c r="B74" s="66">
        <f t="shared" si="5"/>
        <v>47</v>
      </c>
      <c r="C74" s="68">
        <f t="shared" si="8"/>
        <v>66170.31556</v>
      </c>
      <c r="D74" s="68">
        <f t="shared" si="1"/>
        <v>18676.78987</v>
      </c>
      <c r="E74" s="68">
        <f t="shared" si="2"/>
        <v>47493.5257</v>
      </c>
      <c r="F74" s="73">
        <f t="shared" si="7"/>
        <v>7241480.005</v>
      </c>
      <c r="G74" s="74">
        <f t="shared" si="3"/>
        <v>0.282253299</v>
      </c>
      <c r="H74" s="74">
        <f t="shared" si="4"/>
        <v>0.717746701</v>
      </c>
    </row>
    <row r="75">
      <c r="A75" s="75"/>
      <c r="B75" s="66">
        <f t="shared" si="5"/>
        <v>48</v>
      </c>
      <c r="C75" s="68">
        <f t="shared" si="8"/>
        <v>66170.31556</v>
      </c>
      <c r="D75" s="68">
        <f t="shared" si="1"/>
        <v>18798.9672</v>
      </c>
      <c r="E75" s="68">
        <f t="shared" si="2"/>
        <v>47371.34836</v>
      </c>
      <c r="F75" s="73">
        <f t="shared" si="7"/>
        <v>7222681.037</v>
      </c>
      <c r="G75" s="74">
        <f t="shared" si="3"/>
        <v>0.284099706</v>
      </c>
      <c r="H75" s="74">
        <f t="shared" si="4"/>
        <v>0.715900294</v>
      </c>
    </row>
    <row r="76">
      <c r="A76" s="65">
        <v>5.0</v>
      </c>
      <c r="B76" s="66">
        <f t="shared" si="5"/>
        <v>49</v>
      </c>
      <c r="C76" s="68">
        <f t="shared" si="8"/>
        <v>66170.31556</v>
      </c>
      <c r="D76" s="68">
        <f t="shared" si="1"/>
        <v>18921.94378</v>
      </c>
      <c r="E76" s="68">
        <f t="shared" si="2"/>
        <v>47248.37179</v>
      </c>
      <c r="F76" s="73">
        <f t="shared" si="7"/>
        <v>7203759.094</v>
      </c>
      <c r="G76" s="74">
        <f t="shared" si="3"/>
        <v>0.2859581916</v>
      </c>
      <c r="H76" s="74">
        <f t="shared" si="4"/>
        <v>0.7140418084</v>
      </c>
    </row>
    <row r="77">
      <c r="A77" s="75"/>
      <c r="B77" s="66">
        <f t="shared" si="5"/>
        <v>50</v>
      </c>
      <c r="C77" s="68">
        <f t="shared" si="8"/>
        <v>66170.31556</v>
      </c>
      <c r="D77" s="68">
        <f t="shared" si="1"/>
        <v>19045.72482</v>
      </c>
      <c r="E77" s="68">
        <f t="shared" si="2"/>
        <v>47124.59074</v>
      </c>
      <c r="F77" s="73">
        <f t="shared" si="7"/>
        <v>7184713.369</v>
      </c>
      <c r="G77" s="74">
        <f t="shared" si="3"/>
        <v>0.2878288348</v>
      </c>
      <c r="H77" s="74">
        <f t="shared" si="4"/>
        <v>0.7121711652</v>
      </c>
    </row>
    <row r="78">
      <c r="A78" s="75"/>
      <c r="B78" s="66">
        <f t="shared" si="5"/>
        <v>51</v>
      </c>
      <c r="C78" s="68">
        <f t="shared" si="8"/>
        <v>66170.31556</v>
      </c>
      <c r="D78" s="68">
        <f t="shared" si="1"/>
        <v>19170.31561</v>
      </c>
      <c r="E78" s="68">
        <f t="shared" si="2"/>
        <v>46999.99995</v>
      </c>
      <c r="F78" s="73">
        <f t="shared" si="7"/>
        <v>7165543.053</v>
      </c>
      <c r="G78" s="74">
        <f t="shared" si="3"/>
        <v>0.2897117151</v>
      </c>
      <c r="H78" s="74">
        <f t="shared" si="4"/>
        <v>0.7102882849</v>
      </c>
    </row>
    <row r="79">
      <c r="A79" s="75"/>
      <c r="B79" s="66">
        <f t="shared" si="5"/>
        <v>52</v>
      </c>
      <c r="C79" s="68">
        <f t="shared" si="8"/>
        <v>66170.31556</v>
      </c>
      <c r="D79" s="68">
        <f t="shared" si="1"/>
        <v>19295.72142</v>
      </c>
      <c r="E79" s="68">
        <f t="shared" si="2"/>
        <v>46874.59414</v>
      </c>
      <c r="F79" s="73">
        <f t="shared" si="7"/>
        <v>7146247.332</v>
      </c>
      <c r="G79" s="74">
        <f t="shared" si="3"/>
        <v>0.2916069125</v>
      </c>
      <c r="H79" s="74">
        <f t="shared" si="4"/>
        <v>0.7083930875</v>
      </c>
    </row>
    <row r="80">
      <c r="A80" s="75"/>
      <c r="B80" s="66">
        <f t="shared" si="5"/>
        <v>53</v>
      </c>
      <c r="C80" s="68">
        <f t="shared" si="8"/>
        <v>66170.31556</v>
      </c>
      <c r="D80" s="68">
        <f t="shared" si="1"/>
        <v>19421.9476</v>
      </c>
      <c r="E80" s="68">
        <f t="shared" si="2"/>
        <v>46748.36796</v>
      </c>
      <c r="F80" s="73">
        <f t="shared" si="7"/>
        <v>7126825.384</v>
      </c>
      <c r="G80" s="74">
        <f t="shared" si="3"/>
        <v>0.2935145078</v>
      </c>
      <c r="H80" s="74">
        <f t="shared" si="4"/>
        <v>0.7064854922</v>
      </c>
    </row>
    <row r="81">
      <c r="A81" s="75"/>
      <c r="B81" s="66">
        <f t="shared" si="5"/>
        <v>54</v>
      </c>
      <c r="C81" s="68">
        <f t="shared" si="8"/>
        <v>66170.31556</v>
      </c>
      <c r="D81" s="68">
        <f t="shared" si="1"/>
        <v>19548.99951</v>
      </c>
      <c r="E81" s="68">
        <f t="shared" si="2"/>
        <v>46621.31606</v>
      </c>
      <c r="F81" s="73">
        <f t="shared" si="7"/>
        <v>7107276.385</v>
      </c>
      <c r="G81" s="74">
        <f t="shared" si="3"/>
        <v>0.2954345818</v>
      </c>
      <c r="H81" s="74">
        <f t="shared" si="4"/>
        <v>0.7045654182</v>
      </c>
    </row>
    <row r="82">
      <c r="A82" s="75"/>
      <c r="B82" s="66">
        <f t="shared" si="5"/>
        <v>55</v>
      </c>
      <c r="C82" s="68">
        <f t="shared" si="8"/>
        <v>66170.31556</v>
      </c>
      <c r="D82" s="68">
        <f t="shared" si="1"/>
        <v>19676.88255</v>
      </c>
      <c r="E82" s="68">
        <f t="shared" si="2"/>
        <v>46493.43302</v>
      </c>
      <c r="F82" s="73">
        <f t="shared" si="7"/>
        <v>7087599.502</v>
      </c>
      <c r="G82" s="74">
        <f t="shared" si="3"/>
        <v>0.2973672164</v>
      </c>
      <c r="H82" s="74">
        <f t="shared" si="4"/>
        <v>0.7026327836</v>
      </c>
    </row>
    <row r="83">
      <c r="A83" s="75"/>
      <c r="B83" s="66">
        <f t="shared" si="5"/>
        <v>56</v>
      </c>
      <c r="C83" s="68">
        <f t="shared" si="8"/>
        <v>66170.31556</v>
      </c>
      <c r="D83" s="68">
        <f t="shared" si="1"/>
        <v>19805.60215</v>
      </c>
      <c r="E83" s="68">
        <f t="shared" si="2"/>
        <v>46364.71341</v>
      </c>
      <c r="F83" s="73">
        <f t="shared" si="7"/>
        <v>7067793.9</v>
      </c>
      <c r="G83" s="74">
        <f t="shared" si="3"/>
        <v>0.2993124936</v>
      </c>
      <c r="H83" s="74">
        <f t="shared" si="4"/>
        <v>0.7006875064</v>
      </c>
    </row>
    <row r="84">
      <c r="A84" s="75"/>
      <c r="B84" s="66">
        <f t="shared" si="5"/>
        <v>57</v>
      </c>
      <c r="C84" s="68">
        <f t="shared" si="8"/>
        <v>66170.31556</v>
      </c>
      <c r="D84" s="68">
        <f t="shared" si="1"/>
        <v>19935.1638</v>
      </c>
      <c r="E84" s="68">
        <f t="shared" si="2"/>
        <v>46235.15176</v>
      </c>
      <c r="F84" s="73">
        <f t="shared" si="7"/>
        <v>7047858.736</v>
      </c>
      <c r="G84" s="74">
        <f t="shared" si="3"/>
        <v>0.3012704962</v>
      </c>
      <c r="H84" s="74">
        <f t="shared" si="4"/>
        <v>0.6987295038</v>
      </c>
    </row>
    <row r="85">
      <c r="A85" s="75"/>
      <c r="B85" s="66">
        <f t="shared" si="5"/>
        <v>58</v>
      </c>
      <c r="C85" s="68">
        <f t="shared" si="8"/>
        <v>66170.31556</v>
      </c>
      <c r="D85" s="68">
        <f t="shared" si="1"/>
        <v>20065.573</v>
      </c>
      <c r="E85" s="68">
        <f t="shared" si="2"/>
        <v>46104.74257</v>
      </c>
      <c r="F85" s="73">
        <f t="shared" si="7"/>
        <v>7027793.163</v>
      </c>
      <c r="G85" s="74">
        <f t="shared" si="3"/>
        <v>0.3032413073</v>
      </c>
      <c r="H85" s="74">
        <f t="shared" si="4"/>
        <v>0.6967586927</v>
      </c>
    </row>
    <row r="86">
      <c r="A86" s="75"/>
      <c r="B86" s="66">
        <f t="shared" si="5"/>
        <v>59</v>
      </c>
      <c r="C86" s="68">
        <f t="shared" si="8"/>
        <v>66170.31556</v>
      </c>
      <c r="D86" s="68">
        <f t="shared" si="1"/>
        <v>20196.83529</v>
      </c>
      <c r="E86" s="68">
        <f t="shared" si="2"/>
        <v>45973.48028</v>
      </c>
      <c r="F86" s="73">
        <f t="shared" si="7"/>
        <v>7007596.328</v>
      </c>
      <c r="G86" s="74">
        <f t="shared" si="3"/>
        <v>0.3052250109</v>
      </c>
      <c r="H86" s="74">
        <f t="shared" si="4"/>
        <v>0.6947749891</v>
      </c>
    </row>
    <row r="87">
      <c r="A87" s="75"/>
      <c r="B87" s="66">
        <f t="shared" si="5"/>
        <v>60</v>
      </c>
      <c r="C87" s="68">
        <f t="shared" si="8"/>
        <v>66170.31556</v>
      </c>
      <c r="D87" s="68">
        <f t="shared" si="1"/>
        <v>20328.95625</v>
      </c>
      <c r="E87" s="68">
        <f t="shared" si="2"/>
        <v>45841.35931</v>
      </c>
      <c r="F87" s="73">
        <f t="shared" si="7"/>
        <v>6987267.372</v>
      </c>
      <c r="G87" s="74">
        <f t="shared" si="3"/>
        <v>0.3072216911</v>
      </c>
      <c r="H87" s="74">
        <f t="shared" si="4"/>
        <v>0.6927783089</v>
      </c>
    </row>
    <row r="88">
      <c r="A88" s="65">
        <v>6.0</v>
      </c>
      <c r="B88" s="66">
        <f t="shared" si="5"/>
        <v>61</v>
      </c>
      <c r="C88" s="68">
        <f t="shared" si="8"/>
        <v>66170.31556</v>
      </c>
      <c r="D88" s="68">
        <f t="shared" si="1"/>
        <v>20461.94151</v>
      </c>
      <c r="E88" s="68">
        <f t="shared" si="2"/>
        <v>45708.37406</v>
      </c>
      <c r="F88" s="73">
        <f t="shared" si="7"/>
        <v>6966805.43</v>
      </c>
      <c r="G88" s="74">
        <f t="shared" si="3"/>
        <v>0.309231433</v>
      </c>
      <c r="H88" s="74">
        <f t="shared" si="4"/>
        <v>0.690768567</v>
      </c>
    </row>
    <row r="89">
      <c r="A89" s="75"/>
      <c r="B89" s="66">
        <f t="shared" si="5"/>
        <v>62</v>
      </c>
      <c r="C89" s="68">
        <f t="shared" si="8"/>
        <v>66170.31556</v>
      </c>
      <c r="D89" s="68">
        <f t="shared" si="1"/>
        <v>20595.79671</v>
      </c>
      <c r="E89" s="68">
        <f t="shared" si="2"/>
        <v>45574.51886</v>
      </c>
      <c r="F89" s="73">
        <f t="shared" si="7"/>
        <v>6946209.633</v>
      </c>
      <c r="G89" s="74">
        <f t="shared" si="3"/>
        <v>0.311254322</v>
      </c>
      <c r="H89" s="74">
        <f t="shared" si="4"/>
        <v>0.688745678</v>
      </c>
    </row>
    <row r="90">
      <c r="A90" s="75"/>
      <c r="B90" s="66">
        <f t="shared" si="5"/>
        <v>63</v>
      </c>
      <c r="C90" s="68">
        <f t="shared" si="8"/>
        <v>66170.31556</v>
      </c>
      <c r="D90" s="68">
        <f t="shared" si="1"/>
        <v>20730.52754</v>
      </c>
      <c r="E90" s="68">
        <f t="shared" si="2"/>
        <v>45439.78802</v>
      </c>
      <c r="F90" s="73">
        <f t="shared" si="7"/>
        <v>6925479.106</v>
      </c>
      <c r="G90" s="74">
        <f t="shared" si="3"/>
        <v>0.313290444</v>
      </c>
      <c r="H90" s="74">
        <f t="shared" si="4"/>
        <v>0.686709556</v>
      </c>
    </row>
    <row r="91">
      <c r="A91" s="75"/>
      <c r="B91" s="66">
        <f t="shared" si="5"/>
        <v>64</v>
      </c>
      <c r="C91" s="68">
        <f t="shared" si="8"/>
        <v>66170.31556</v>
      </c>
      <c r="D91" s="68">
        <f t="shared" si="1"/>
        <v>20866.13974</v>
      </c>
      <c r="E91" s="68">
        <f t="shared" si="2"/>
        <v>45304.17582</v>
      </c>
      <c r="F91" s="73">
        <f t="shared" si="7"/>
        <v>6904612.966</v>
      </c>
      <c r="G91" s="74">
        <f t="shared" si="3"/>
        <v>0.3153398857</v>
      </c>
      <c r="H91" s="74">
        <f t="shared" si="4"/>
        <v>0.6846601143</v>
      </c>
    </row>
    <row r="92">
      <c r="A92" s="75"/>
      <c r="B92" s="66">
        <f t="shared" si="5"/>
        <v>65</v>
      </c>
      <c r="C92" s="68">
        <f t="shared" si="8"/>
        <v>66170.31556</v>
      </c>
      <c r="D92" s="68">
        <f t="shared" si="1"/>
        <v>21002.63908</v>
      </c>
      <c r="E92" s="68">
        <f t="shared" si="2"/>
        <v>45167.67649</v>
      </c>
      <c r="F92" s="73">
        <f t="shared" si="7"/>
        <v>6883610.327</v>
      </c>
      <c r="G92" s="74">
        <f t="shared" si="3"/>
        <v>0.3174027341</v>
      </c>
      <c r="H92" s="74">
        <f t="shared" si="4"/>
        <v>0.6825972659</v>
      </c>
    </row>
    <row r="93">
      <c r="A93" s="75"/>
      <c r="B93" s="66">
        <f t="shared" si="5"/>
        <v>66</v>
      </c>
      <c r="C93" s="68">
        <f t="shared" si="8"/>
        <v>66170.31556</v>
      </c>
      <c r="D93" s="68">
        <f t="shared" si="1"/>
        <v>21140.03134</v>
      </c>
      <c r="E93" s="68">
        <f t="shared" si="2"/>
        <v>45030.28422</v>
      </c>
      <c r="F93" s="73">
        <f t="shared" si="7"/>
        <v>6862470.296</v>
      </c>
      <c r="G93" s="74">
        <f t="shared" si="3"/>
        <v>0.319479077</v>
      </c>
      <c r="H93" s="74">
        <f t="shared" si="4"/>
        <v>0.680520923</v>
      </c>
    </row>
    <row r="94">
      <c r="A94" s="75"/>
      <c r="B94" s="66">
        <f t="shared" si="5"/>
        <v>67</v>
      </c>
      <c r="C94" s="68">
        <f t="shared" si="8"/>
        <v>66170.31556</v>
      </c>
      <c r="D94" s="68">
        <f t="shared" si="1"/>
        <v>21278.32238</v>
      </c>
      <c r="E94" s="68">
        <f t="shared" si="2"/>
        <v>44891.99318</v>
      </c>
      <c r="F94" s="73">
        <f t="shared" si="7"/>
        <v>6841191.973</v>
      </c>
      <c r="G94" s="74">
        <f t="shared" si="3"/>
        <v>0.3215690026</v>
      </c>
      <c r="H94" s="74">
        <f t="shared" si="4"/>
        <v>0.6784309974</v>
      </c>
    </row>
    <row r="95">
      <c r="A95" s="75"/>
      <c r="B95" s="66">
        <f t="shared" si="5"/>
        <v>68</v>
      </c>
      <c r="C95" s="68">
        <f t="shared" si="8"/>
        <v>66170.31556</v>
      </c>
      <c r="D95" s="68">
        <f t="shared" si="1"/>
        <v>21417.51807</v>
      </c>
      <c r="E95" s="68">
        <f t="shared" si="2"/>
        <v>44752.79749</v>
      </c>
      <c r="F95" s="73">
        <f t="shared" si="7"/>
        <v>6819774.455</v>
      </c>
      <c r="G95" s="74">
        <f t="shared" si="3"/>
        <v>0.3236725998</v>
      </c>
      <c r="H95" s="74">
        <f t="shared" si="4"/>
        <v>0.6763274002</v>
      </c>
    </row>
    <row r="96">
      <c r="A96" s="75"/>
      <c r="B96" s="66">
        <f t="shared" si="5"/>
        <v>69</v>
      </c>
      <c r="C96" s="68">
        <f t="shared" si="8"/>
        <v>66170.31556</v>
      </c>
      <c r="D96" s="68">
        <f t="shared" si="1"/>
        <v>21557.62433</v>
      </c>
      <c r="E96" s="68">
        <f t="shared" si="2"/>
        <v>44612.69123</v>
      </c>
      <c r="F96" s="73">
        <f t="shared" si="7"/>
        <v>6798216.831</v>
      </c>
      <c r="G96" s="74">
        <f t="shared" si="3"/>
        <v>0.3257899581</v>
      </c>
      <c r="H96" s="74">
        <f t="shared" si="4"/>
        <v>0.6742100419</v>
      </c>
    </row>
    <row r="97">
      <c r="A97" s="75"/>
      <c r="B97" s="66">
        <f t="shared" si="5"/>
        <v>70</v>
      </c>
      <c r="C97" s="68">
        <f t="shared" si="8"/>
        <v>66170.31556</v>
      </c>
      <c r="D97" s="68">
        <f t="shared" si="1"/>
        <v>21698.64713</v>
      </c>
      <c r="E97" s="68">
        <f t="shared" si="2"/>
        <v>44471.66844</v>
      </c>
      <c r="F97" s="73">
        <f t="shared" si="7"/>
        <v>6776518.184</v>
      </c>
      <c r="G97" s="74">
        <f t="shared" si="3"/>
        <v>0.3279211674</v>
      </c>
      <c r="H97" s="74">
        <f t="shared" si="4"/>
        <v>0.6720788326</v>
      </c>
    </row>
    <row r="98">
      <c r="A98" s="75"/>
      <c r="B98" s="66">
        <f t="shared" si="5"/>
        <v>71</v>
      </c>
      <c r="C98" s="68">
        <f t="shared" si="8"/>
        <v>66170.31556</v>
      </c>
      <c r="D98" s="68">
        <f t="shared" si="1"/>
        <v>21840.59244</v>
      </c>
      <c r="E98" s="68">
        <f t="shared" si="2"/>
        <v>44329.72312</v>
      </c>
      <c r="F98" s="73">
        <f t="shared" si="7"/>
        <v>6754677.591</v>
      </c>
      <c r="G98" s="74">
        <f t="shared" si="3"/>
        <v>0.3300663184</v>
      </c>
      <c r="H98" s="74">
        <f t="shared" si="4"/>
        <v>0.6699336816</v>
      </c>
    </row>
    <row r="99">
      <c r="A99" s="75"/>
      <c r="B99" s="66">
        <f t="shared" si="5"/>
        <v>72</v>
      </c>
      <c r="C99" s="68">
        <f t="shared" si="8"/>
        <v>66170.31556</v>
      </c>
      <c r="D99" s="68">
        <f t="shared" si="1"/>
        <v>21983.46632</v>
      </c>
      <c r="E99" s="68">
        <f t="shared" si="2"/>
        <v>44186.84924</v>
      </c>
      <c r="F99" s="73">
        <f t="shared" si="7"/>
        <v>6732694.125</v>
      </c>
      <c r="G99" s="74">
        <f t="shared" si="3"/>
        <v>0.3322255022</v>
      </c>
      <c r="H99" s="74">
        <f t="shared" si="4"/>
        <v>0.6677744978</v>
      </c>
    </row>
    <row r="100">
      <c r="A100" s="65">
        <v>7.0</v>
      </c>
      <c r="B100" s="66">
        <f t="shared" si="5"/>
        <v>73</v>
      </c>
      <c r="C100" s="68">
        <f t="shared" si="8"/>
        <v>66170.31556</v>
      </c>
      <c r="D100" s="68">
        <f t="shared" si="1"/>
        <v>22127.27483</v>
      </c>
      <c r="E100" s="68">
        <f t="shared" si="2"/>
        <v>44043.04074</v>
      </c>
      <c r="F100" s="73">
        <f t="shared" si="7"/>
        <v>6710566.85</v>
      </c>
      <c r="G100" s="74">
        <f t="shared" si="3"/>
        <v>0.3343988107</v>
      </c>
      <c r="H100" s="74">
        <f t="shared" si="4"/>
        <v>0.6656011893</v>
      </c>
    </row>
    <row r="101">
      <c r="A101" s="75"/>
      <c r="B101" s="66">
        <f t="shared" si="5"/>
        <v>74</v>
      </c>
      <c r="C101" s="68">
        <f t="shared" si="8"/>
        <v>66170.31556</v>
      </c>
      <c r="D101" s="68">
        <f t="shared" si="1"/>
        <v>22272.02408</v>
      </c>
      <c r="E101" s="68">
        <f t="shared" si="2"/>
        <v>43898.29148</v>
      </c>
      <c r="F101" s="73">
        <f t="shared" si="7"/>
        <v>6688294.826</v>
      </c>
      <c r="G101" s="74">
        <f t="shared" si="3"/>
        <v>0.3365863363</v>
      </c>
      <c r="H101" s="74">
        <f t="shared" si="4"/>
        <v>0.6634136637</v>
      </c>
    </row>
    <row r="102">
      <c r="A102" s="75"/>
      <c r="B102" s="66">
        <f t="shared" si="5"/>
        <v>75</v>
      </c>
      <c r="C102" s="68">
        <f t="shared" si="8"/>
        <v>66170.31556</v>
      </c>
      <c r="D102" s="68">
        <f t="shared" si="1"/>
        <v>22417.72024</v>
      </c>
      <c r="E102" s="68">
        <f t="shared" si="2"/>
        <v>43752.59532</v>
      </c>
      <c r="F102" s="73">
        <f t="shared" si="7"/>
        <v>6665877.106</v>
      </c>
      <c r="G102" s="74">
        <f t="shared" si="3"/>
        <v>0.3387881719</v>
      </c>
      <c r="H102" s="74">
        <f t="shared" si="4"/>
        <v>0.6612118281</v>
      </c>
    </row>
    <row r="103">
      <c r="A103" s="75"/>
      <c r="B103" s="66">
        <f t="shared" si="5"/>
        <v>76</v>
      </c>
      <c r="C103" s="68">
        <f t="shared" si="8"/>
        <v>66170.31556</v>
      </c>
      <c r="D103" s="68">
        <f t="shared" si="1"/>
        <v>22564.36949</v>
      </c>
      <c r="E103" s="68">
        <f t="shared" si="2"/>
        <v>43605.94607</v>
      </c>
      <c r="F103" s="73">
        <f t="shared" si="7"/>
        <v>6643312.736</v>
      </c>
      <c r="G103" s="74">
        <f t="shared" si="3"/>
        <v>0.3410044112</v>
      </c>
      <c r="H103" s="74">
        <f t="shared" si="4"/>
        <v>0.6589955888</v>
      </c>
    </row>
    <row r="104">
      <c r="A104" s="75"/>
      <c r="B104" s="66">
        <f t="shared" si="5"/>
        <v>77</v>
      </c>
      <c r="C104" s="68">
        <f t="shared" si="8"/>
        <v>66170.31556</v>
      </c>
      <c r="D104" s="68">
        <f t="shared" si="1"/>
        <v>22711.97808</v>
      </c>
      <c r="E104" s="68">
        <f t="shared" si="2"/>
        <v>43458.33748</v>
      </c>
      <c r="F104" s="73">
        <f t="shared" si="7"/>
        <v>6620600.758</v>
      </c>
      <c r="G104" s="74">
        <f t="shared" si="3"/>
        <v>0.3432351483</v>
      </c>
      <c r="H104" s="74">
        <f t="shared" si="4"/>
        <v>0.6567648517</v>
      </c>
    </row>
    <row r="105">
      <c r="A105" s="75"/>
      <c r="B105" s="66">
        <f t="shared" si="5"/>
        <v>78</v>
      </c>
      <c r="C105" s="68">
        <f t="shared" si="8"/>
        <v>66170.31556</v>
      </c>
      <c r="D105" s="68">
        <f t="shared" si="1"/>
        <v>22860.55227</v>
      </c>
      <c r="E105" s="68">
        <f t="shared" si="2"/>
        <v>43309.76329</v>
      </c>
      <c r="F105" s="73">
        <f t="shared" si="7"/>
        <v>6597740.206</v>
      </c>
      <c r="G105" s="74">
        <f t="shared" si="3"/>
        <v>0.3454804783</v>
      </c>
      <c r="H105" s="74">
        <f t="shared" si="4"/>
        <v>0.6545195217</v>
      </c>
    </row>
    <row r="106">
      <c r="A106" s="75"/>
      <c r="B106" s="66">
        <f t="shared" si="5"/>
        <v>79</v>
      </c>
      <c r="C106" s="68">
        <f t="shared" si="8"/>
        <v>66170.31556</v>
      </c>
      <c r="D106" s="68">
        <f t="shared" si="1"/>
        <v>23010.09838</v>
      </c>
      <c r="E106" s="68">
        <f t="shared" si="2"/>
        <v>43160.21718</v>
      </c>
      <c r="F106" s="73">
        <f t="shared" si="7"/>
        <v>6574730.108</v>
      </c>
      <c r="G106" s="74">
        <f t="shared" si="3"/>
        <v>0.3477404964</v>
      </c>
      <c r="H106" s="74">
        <f t="shared" si="4"/>
        <v>0.6522595036</v>
      </c>
    </row>
    <row r="107">
      <c r="A107" s="75"/>
      <c r="B107" s="66">
        <f t="shared" si="5"/>
        <v>80</v>
      </c>
      <c r="C107" s="68">
        <f t="shared" si="8"/>
        <v>66170.31556</v>
      </c>
      <c r="D107" s="68">
        <f t="shared" si="1"/>
        <v>23160.62277</v>
      </c>
      <c r="E107" s="68">
        <f t="shared" si="2"/>
        <v>43009.69279</v>
      </c>
      <c r="F107" s="73">
        <f t="shared" si="7"/>
        <v>6551569.485</v>
      </c>
      <c r="G107" s="74">
        <f t="shared" si="3"/>
        <v>0.3500152988</v>
      </c>
      <c r="H107" s="74">
        <f t="shared" si="4"/>
        <v>0.6499847012</v>
      </c>
    </row>
    <row r="108">
      <c r="A108" s="75"/>
      <c r="B108" s="66">
        <f t="shared" si="5"/>
        <v>81</v>
      </c>
      <c r="C108" s="68">
        <f t="shared" si="8"/>
        <v>66170.31556</v>
      </c>
      <c r="D108" s="68">
        <f t="shared" si="1"/>
        <v>23312.13185</v>
      </c>
      <c r="E108" s="68">
        <f t="shared" si="2"/>
        <v>42858.18371</v>
      </c>
      <c r="F108" s="73">
        <f t="shared" si="7"/>
        <v>6528257.353</v>
      </c>
      <c r="G108" s="74">
        <f t="shared" si="3"/>
        <v>0.3523049822</v>
      </c>
      <c r="H108" s="74">
        <f t="shared" si="4"/>
        <v>0.6476950178</v>
      </c>
    </row>
    <row r="109">
      <c r="A109" s="75"/>
      <c r="B109" s="66">
        <f t="shared" si="5"/>
        <v>82</v>
      </c>
      <c r="C109" s="68">
        <f t="shared" si="8"/>
        <v>66170.31556</v>
      </c>
      <c r="D109" s="68">
        <f t="shared" si="1"/>
        <v>23464.63204</v>
      </c>
      <c r="E109" s="68">
        <f t="shared" si="2"/>
        <v>42705.68352</v>
      </c>
      <c r="F109" s="73">
        <f t="shared" si="7"/>
        <v>6504792.721</v>
      </c>
      <c r="G109" s="74">
        <f t="shared" si="3"/>
        <v>0.354609644</v>
      </c>
      <c r="H109" s="74">
        <f t="shared" si="4"/>
        <v>0.645390356</v>
      </c>
    </row>
    <row r="110">
      <c r="A110" s="75"/>
      <c r="B110" s="66">
        <f t="shared" si="5"/>
        <v>83</v>
      </c>
      <c r="C110" s="68">
        <f t="shared" si="8"/>
        <v>66170.31556</v>
      </c>
      <c r="D110" s="68">
        <f t="shared" si="1"/>
        <v>23618.12985</v>
      </c>
      <c r="E110" s="68">
        <f t="shared" si="2"/>
        <v>42552.18572</v>
      </c>
      <c r="F110" s="73">
        <f t="shared" si="7"/>
        <v>6481174.591</v>
      </c>
      <c r="G110" s="74">
        <f t="shared" si="3"/>
        <v>0.3569293821</v>
      </c>
      <c r="H110" s="74">
        <f t="shared" si="4"/>
        <v>0.6430706179</v>
      </c>
    </row>
    <row r="111">
      <c r="A111" s="75"/>
      <c r="B111" s="66">
        <f t="shared" si="5"/>
        <v>84</v>
      </c>
      <c r="C111" s="68">
        <f t="shared" si="8"/>
        <v>66170.31556</v>
      </c>
      <c r="D111" s="68">
        <f t="shared" si="1"/>
        <v>23772.63178</v>
      </c>
      <c r="E111" s="68">
        <f t="shared" si="2"/>
        <v>42397.68378</v>
      </c>
      <c r="F111" s="73">
        <f t="shared" si="7"/>
        <v>6457401.959</v>
      </c>
      <c r="G111" s="74">
        <f t="shared" si="3"/>
        <v>0.3592642951</v>
      </c>
      <c r="H111" s="74">
        <f t="shared" si="4"/>
        <v>0.6407357049</v>
      </c>
    </row>
    <row r="112">
      <c r="A112" s="65">
        <v>8.0</v>
      </c>
      <c r="B112" s="66">
        <f t="shared" si="5"/>
        <v>85</v>
      </c>
      <c r="C112" s="68">
        <f t="shared" si="8"/>
        <v>66170.31556</v>
      </c>
      <c r="D112" s="68">
        <f t="shared" si="1"/>
        <v>23928.14441</v>
      </c>
      <c r="E112" s="68">
        <f t="shared" si="2"/>
        <v>42242.17115</v>
      </c>
      <c r="F112" s="73">
        <f t="shared" si="7"/>
        <v>6433473.815</v>
      </c>
      <c r="G112" s="74">
        <f t="shared" si="3"/>
        <v>0.3616144824</v>
      </c>
      <c r="H112" s="74">
        <f t="shared" si="4"/>
        <v>0.6383855176</v>
      </c>
    </row>
    <row r="113">
      <c r="A113" s="75"/>
      <c r="B113" s="66">
        <f t="shared" si="5"/>
        <v>86</v>
      </c>
      <c r="C113" s="68">
        <f t="shared" si="8"/>
        <v>66170.31556</v>
      </c>
      <c r="D113" s="68">
        <f t="shared" si="1"/>
        <v>24084.67436</v>
      </c>
      <c r="E113" s="68">
        <f t="shared" si="2"/>
        <v>42085.64121</v>
      </c>
      <c r="F113" s="73">
        <f t="shared" si="7"/>
        <v>6409389.141</v>
      </c>
      <c r="G113" s="74">
        <f t="shared" si="3"/>
        <v>0.3639800438</v>
      </c>
      <c r="H113" s="74">
        <f t="shared" si="4"/>
        <v>0.6360199562</v>
      </c>
    </row>
    <row r="114">
      <c r="A114" s="75"/>
      <c r="B114" s="66">
        <f t="shared" si="5"/>
        <v>87</v>
      </c>
      <c r="C114" s="68">
        <f t="shared" si="8"/>
        <v>66170.31556</v>
      </c>
      <c r="D114" s="68">
        <f t="shared" si="1"/>
        <v>24242.22827</v>
      </c>
      <c r="E114" s="68">
        <f t="shared" si="2"/>
        <v>41928.0873</v>
      </c>
      <c r="F114" s="73">
        <f t="shared" si="7"/>
        <v>6385146.912</v>
      </c>
      <c r="G114" s="74">
        <f t="shared" si="3"/>
        <v>0.3663610799</v>
      </c>
      <c r="H114" s="74">
        <f t="shared" si="4"/>
        <v>0.6336389201</v>
      </c>
    </row>
    <row r="115">
      <c r="A115" s="75"/>
      <c r="B115" s="66">
        <f t="shared" si="5"/>
        <v>88</v>
      </c>
      <c r="C115" s="68">
        <f t="shared" si="8"/>
        <v>66170.31556</v>
      </c>
      <c r="D115" s="68">
        <f t="shared" si="1"/>
        <v>24400.81284</v>
      </c>
      <c r="E115" s="68">
        <f t="shared" si="2"/>
        <v>41769.50272</v>
      </c>
      <c r="F115" s="73">
        <f t="shared" si="7"/>
        <v>6360746.1</v>
      </c>
      <c r="G115" s="74">
        <f t="shared" si="3"/>
        <v>0.368757692</v>
      </c>
      <c r="H115" s="74">
        <f t="shared" si="4"/>
        <v>0.631242308</v>
      </c>
    </row>
    <row r="116">
      <c r="A116" s="75"/>
      <c r="B116" s="66">
        <f t="shared" si="5"/>
        <v>89</v>
      </c>
      <c r="C116" s="68">
        <f t="shared" si="8"/>
        <v>66170.31556</v>
      </c>
      <c r="D116" s="68">
        <f t="shared" si="1"/>
        <v>24560.43483</v>
      </c>
      <c r="E116" s="68">
        <f t="shared" si="2"/>
        <v>41609.88073</v>
      </c>
      <c r="F116" s="73">
        <f t="shared" si="7"/>
        <v>6336185.665</v>
      </c>
      <c r="G116" s="74">
        <f t="shared" si="3"/>
        <v>0.3711699819</v>
      </c>
      <c r="H116" s="74">
        <f t="shared" si="4"/>
        <v>0.6288300181</v>
      </c>
    </row>
    <row r="117">
      <c r="A117" s="75"/>
      <c r="B117" s="66">
        <f t="shared" si="5"/>
        <v>90</v>
      </c>
      <c r="C117" s="68">
        <f t="shared" si="8"/>
        <v>66170.31556</v>
      </c>
      <c r="D117" s="68">
        <f t="shared" si="1"/>
        <v>24721.10101</v>
      </c>
      <c r="E117" s="68">
        <f t="shared" si="2"/>
        <v>41449.21456</v>
      </c>
      <c r="F117" s="73">
        <f t="shared" si="7"/>
        <v>6311464.564</v>
      </c>
      <c r="G117" s="74">
        <f t="shared" si="3"/>
        <v>0.3735980522</v>
      </c>
      <c r="H117" s="74">
        <f t="shared" si="4"/>
        <v>0.6264019478</v>
      </c>
    </row>
    <row r="118">
      <c r="A118" s="75"/>
      <c r="B118" s="66">
        <f t="shared" si="5"/>
        <v>91</v>
      </c>
      <c r="C118" s="68">
        <f t="shared" si="8"/>
        <v>66170.31556</v>
      </c>
      <c r="D118" s="68">
        <f t="shared" si="1"/>
        <v>24882.81821</v>
      </c>
      <c r="E118" s="68">
        <f t="shared" si="2"/>
        <v>41287.49735</v>
      </c>
      <c r="F118" s="73">
        <f t="shared" si="7"/>
        <v>6286581.746</v>
      </c>
      <c r="G118" s="74">
        <f t="shared" si="3"/>
        <v>0.3760420061</v>
      </c>
      <c r="H118" s="74">
        <f t="shared" si="4"/>
        <v>0.6239579939</v>
      </c>
    </row>
    <row r="119">
      <c r="A119" s="75"/>
      <c r="B119" s="66">
        <f t="shared" si="5"/>
        <v>92</v>
      </c>
      <c r="C119" s="68">
        <f t="shared" si="8"/>
        <v>66170.31556</v>
      </c>
      <c r="D119" s="68">
        <f t="shared" si="1"/>
        <v>25045.59331</v>
      </c>
      <c r="E119" s="68">
        <f t="shared" si="2"/>
        <v>41124.72225</v>
      </c>
      <c r="F119" s="73">
        <f t="shared" si="7"/>
        <v>6261536.152</v>
      </c>
      <c r="G119" s="74">
        <f t="shared" si="3"/>
        <v>0.3785019476</v>
      </c>
      <c r="H119" s="74">
        <f t="shared" si="4"/>
        <v>0.6214980524</v>
      </c>
    </row>
    <row r="120">
      <c r="A120" s="75"/>
      <c r="B120" s="66">
        <f t="shared" si="5"/>
        <v>93</v>
      </c>
      <c r="C120" s="68">
        <f t="shared" si="8"/>
        <v>66170.31556</v>
      </c>
      <c r="D120" s="68">
        <f t="shared" si="1"/>
        <v>25209.43323</v>
      </c>
      <c r="E120" s="68">
        <f t="shared" si="2"/>
        <v>40960.88233</v>
      </c>
      <c r="F120" s="73">
        <f t="shared" si="7"/>
        <v>6236326.719</v>
      </c>
      <c r="G120" s="74">
        <f t="shared" si="3"/>
        <v>0.3809779811</v>
      </c>
      <c r="H120" s="74">
        <f t="shared" si="4"/>
        <v>0.6190220189</v>
      </c>
    </row>
    <row r="121">
      <c r="A121" s="75"/>
      <c r="B121" s="66">
        <f t="shared" si="5"/>
        <v>94</v>
      </c>
      <c r="C121" s="68">
        <f t="shared" si="8"/>
        <v>66170.31556</v>
      </c>
      <c r="D121" s="68">
        <f t="shared" si="1"/>
        <v>25374.34494</v>
      </c>
      <c r="E121" s="68">
        <f t="shared" si="2"/>
        <v>40795.97062</v>
      </c>
      <c r="F121" s="73">
        <f t="shared" si="7"/>
        <v>6210952.374</v>
      </c>
      <c r="G121" s="74">
        <f t="shared" si="3"/>
        <v>0.3834702121</v>
      </c>
      <c r="H121" s="74">
        <f t="shared" si="4"/>
        <v>0.6165297879</v>
      </c>
    </row>
    <row r="122">
      <c r="A122" s="75"/>
      <c r="B122" s="66">
        <f t="shared" si="5"/>
        <v>95</v>
      </c>
      <c r="C122" s="68">
        <f t="shared" si="8"/>
        <v>66170.31556</v>
      </c>
      <c r="D122" s="68">
        <f t="shared" si="1"/>
        <v>25540.33545</v>
      </c>
      <c r="E122" s="68">
        <f t="shared" si="2"/>
        <v>40629.98011</v>
      </c>
      <c r="F122" s="73">
        <f t="shared" si="7"/>
        <v>6185412.039</v>
      </c>
      <c r="G122" s="74">
        <f t="shared" si="3"/>
        <v>0.3859787464</v>
      </c>
      <c r="H122" s="74">
        <f t="shared" si="4"/>
        <v>0.6140212536</v>
      </c>
    </row>
    <row r="123">
      <c r="A123" s="75"/>
      <c r="B123" s="66">
        <f t="shared" si="5"/>
        <v>96</v>
      </c>
      <c r="C123" s="68">
        <f t="shared" si="8"/>
        <v>66170.31556</v>
      </c>
      <c r="D123" s="68">
        <f t="shared" si="1"/>
        <v>25707.41181</v>
      </c>
      <c r="E123" s="68">
        <f t="shared" si="2"/>
        <v>40462.90375</v>
      </c>
      <c r="F123" s="73">
        <f t="shared" si="7"/>
        <v>6159704.627</v>
      </c>
      <c r="G123" s="74">
        <f t="shared" si="3"/>
        <v>0.3885036907</v>
      </c>
      <c r="H123" s="74">
        <f t="shared" si="4"/>
        <v>0.6114963093</v>
      </c>
    </row>
    <row r="124">
      <c r="A124" s="65">
        <v>9.0</v>
      </c>
      <c r="B124" s="66">
        <f t="shared" si="5"/>
        <v>97</v>
      </c>
      <c r="C124" s="68">
        <f t="shared" si="8"/>
        <v>66170.31556</v>
      </c>
      <c r="D124" s="68">
        <f t="shared" si="1"/>
        <v>25875.58113</v>
      </c>
      <c r="E124" s="68">
        <f t="shared" si="2"/>
        <v>40294.73443</v>
      </c>
      <c r="F124" s="73">
        <f t="shared" si="7"/>
        <v>6133829.046</v>
      </c>
      <c r="G124" s="74">
        <f t="shared" si="3"/>
        <v>0.3910451523</v>
      </c>
      <c r="H124" s="74">
        <f t="shared" si="4"/>
        <v>0.6089548477</v>
      </c>
    </row>
    <row r="125">
      <c r="A125" s="75"/>
      <c r="B125" s="66">
        <f t="shared" si="5"/>
        <v>98</v>
      </c>
      <c r="C125" s="68">
        <f t="shared" si="8"/>
        <v>66170.31556</v>
      </c>
      <c r="D125" s="68">
        <f t="shared" si="1"/>
        <v>26044.85056</v>
      </c>
      <c r="E125" s="68">
        <f t="shared" si="2"/>
        <v>40125.46501</v>
      </c>
      <c r="F125" s="73">
        <f t="shared" si="7"/>
        <v>6107784.195</v>
      </c>
      <c r="G125" s="74">
        <f t="shared" si="3"/>
        <v>0.3936032394</v>
      </c>
      <c r="H125" s="74">
        <f t="shared" si="4"/>
        <v>0.6063967606</v>
      </c>
    </row>
    <row r="126">
      <c r="A126" s="75"/>
      <c r="B126" s="66">
        <f t="shared" si="5"/>
        <v>99</v>
      </c>
      <c r="C126" s="68">
        <f t="shared" si="8"/>
        <v>66170.31556</v>
      </c>
      <c r="D126" s="68">
        <f t="shared" si="1"/>
        <v>26215.22729</v>
      </c>
      <c r="E126" s="68">
        <f t="shared" si="2"/>
        <v>39955.08828</v>
      </c>
      <c r="F126" s="73">
        <f t="shared" si="7"/>
        <v>6081568.968</v>
      </c>
      <c r="G126" s="74">
        <f t="shared" si="3"/>
        <v>0.3961780606</v>
      </c>
      <c r="H126" s="74">
        <f t="shared" si="4"/>
        <v>0.6038219394</v>
      </c>
    </row>
    <row r="127">
      <c r="A127" s="75"/>
      <c r="B127" s="66">
        <f t="shared" si="5"/>
        <v>100</v>
      </c>
      <c r="C127" s="68">
        <f t="shared" si="8"/>
        <v>66170.31556</v>
      </c>
      <c r="D127" s="68">
        <f t="shared" si="1"/>
        <v>26386.71857</v>
      </c>
      <c r="E127" s="68">
        <f t="shared" si="2"/>
        <v>39783.597</v>
      </c>
      <c r="F127" s="73">
        <f t="shared" si="7"/>
        <v>6055182.249</v>
      </c>
      <c r="G127" s="74">
        <f t="shared" si="3"/>
        <v>0.3987697254</v>
      </c>
      <c r="H127" s="74">
        <f t="shared" si="4"/>
        <v>0.6012302746</v>
      </c>
    </row>
    <row r="128">
      <c r="A128" s="75"/>
      <c r="B128" s="66">
        <f t="shared" si="5"/>
        <v>101</v>
      </c>
      <c r="C128" s="68">
        <f t="shared" si="8"/>
        <v>66170.31556</v>
      </c>
      <c r="D128" s="68">
        <f t="shared" si="1"/>
        <v>26559.33168</v>
      </c>
      <c r="E128" s="68">
        <f t="shared" si="2"/>
        <v>39610.98388</v>
      </c>
      <c r="F128" s="73">
        <f t="shared" si="7"/>
        <v>6028622.918</v>
      </c>
      <c r="G128" s="74">
        <f t="shared" si="3"/>
        <v>0.401378344</v>
      </c>
      <c r="H128" s="74">
        <f t="shared" si="4"/>
        <v>0.598621656</v>
      </c>
    </row>
    <row r="129">
      <c r="A129" s="75"/>
      <c r="B129" s="66">
        <f t="shared" si="5"/>
        <v>102</v>
      </c>
      <c r="C129" s="68">
        <f t="shared" si="8"/>
        <v>66170.31556</v>
      </c>
      <c r="D129" s="68">
        <f t="shared" si="1"/>
        <v>26733.07398</v>
      </c>
      <c r="E129" s="68">
        <f t="shared" si="2"/>
        <v>39437.24159</v>
      </c>
      <c r="F129" s="73">
        <f t="shared" si="7"/>
        <v>6001889.844</v>
      </c>
      <c r="G129" s="74">
        <f t="shared" si="3"/>
        <v>0.4040040273</v>
      </c>
      <c r="H129" s="74">
        <f t="shared" si="4"/>
        <v>0.5959959727</v>
      </c>
    </row>
    <row r="130">
      <c r="A130" s="75"/>
      <c r="B130" s="66">
        <f t="shared" si="5"/>
        <v>103</v>
      </c>
      <c r="C130" s="68">
        <f t="shared" si="8"/>
        <v>66170.31556</v>
      </c>
      <c r="D130" s="68">
        <f t="shared" si="1"/>
        <v>26907.95284</v>
      </c>
      <c r="E130" s="68">
        <f t="shared" si="2"/>
        <v>39262.36273</v>
      </c>
      <c r="F130" s="73">
        <f t="shared" si="7"/>
        <v>5974981.891</v>
      </c>
      <c r="G130" s="74">
        <f t="shared" si="3"/>
        <v>0.406646887</v>
      </c>
      <c r="H130" s="74">
        <f t="shared" si="4"/>
        <v>0.593353113</v>
      </c>
    </row>
    <row r="131">
      <c r="A131" s="75"/>
      <c r="B131" s="66">
        <f t="shared" si="5"/>
        <v>104</v>
      </c>
      <c r="C131" s="68">
        <f t="shared" si="8"/>
        <v>66170.31556</v>
      </c>
      <c r="D131" s="68">
        <f t="shared" si="1"/>
        <v>27083.97569</v>
      </c>
      <c r="E131" s="68">
        <f t="shared" si="2"/>
        <v>39086.33987</v>
      </c>
      <c r="F131" s="73">
        <f t="shared" si="7"/>
        <v>5947897.915</v>
      </c>
      <c r="G131" s="74">
        <f t="shared" si="3"/>
        <v>0.4093070354</v>
      </c>
      <c r="H131" s="74">
        <f t="shared" si="4"/>
        <v>0.5906929646</v>
      </c>
    </row>
    <row r="132">
      <c r="A132" s="75"/>
      <c r="B132" s="66">
        <f t="shared" si="5"/>
        <v>105</v>
      </c>
      <c r="C132" s="68">
        <f t="shared" si="8"/>
        <v>66170.31556</v>
      </c>
      <c r="D132" s="68">
        <f t="shared" si="1"/>
        <v>27261.15004</v>
      </c>
      <c r="E132" s="68">
        <f t="shared" si="2"/>
        <v>38909.16553</v>
      </c>
      <c r="F132" s="73">
        <f t="shared" si="7"/>
        <v>5920636.765</v>
      </c>
      <c r="G132" s="74">
        <f t="shared" si="3"/>
        <v>0.4119845856</v>
      </c>
      <c r="H132" s="74">
        <f t="shared" si="4"/>
        <v>0.5880154144</v>
      </c>
    </row>
    <row r="133">
      <c r="A133" s="75"/>
      <c r="B133" s="66">
        <f t="shared" si="5"/>
        <v>106</v>
      </c>
      <c r="C133" s="68">
        <f t="shared" si="8"/>
        <v>66170.31556</v>
      </c>
      <c r="D133" s="68">
        <f t="shared" si="1"/>
        <v>27439.48339</v>
      </c>
      <c r="E133" s="68">
        <f t="shared" si="2"/>
        <v>38730.83217</v>
      </c>
      <c r="F133" s="73">
        <f t="shared" si="7"/>
        <v>5893197.282</v>
      </c>
      <c r="G133" s="74">
        <f t="shared" si="3"/>
        <v>0.4146796514</v>
      </c>
      <c r="H133" s="74">
        <f t="shared" si="4"/>
        <v>0.5853203486</v>
      </c>
    </row>
    <row r="134">
      <c r="A134" s="75"/>
      <c r="B134" s="66">
        <f t="shared" si="5"/>
        <v>107</v>
      </c>
      <c r="C134" s="68">
        <f t="shared" si="8"/>
        <v>66170.31556</v>
      </c>
      <c r="D134" s="68">
        <f t="shared" si="1"/>
        <v>27618.98335</v>
      </c>
      <c r="E134" s="68">
        <f t="shared" si="2"/>
        <v>38551.33222</v>
      </c>
      <c r="F134" s="73">
        <f t="shared" si="7"/>
        <v>5865578.298</v>
      </c>
      <c r="G134" s="74">
        <f t="shared" si="3"/>
        <v>0.4173923475</v>
      </c>
      <c r="H134" s="74">
        <f t="shared" si="4"/>
        <v>0.5826076525</v>
      </c>
    </row>
    <row r="135">
      <c r="A135" s="75"/>
      <c r="B135" s="66">
        <f t="shared" si="5"/>
        <v>108</v>
      </c>
      <c r="C135" s="68">
        <f t="shared" si="8"/>
        <v>66170.31556</v>
      </c>
      <c r="D135" s="68">
        <f t="shared" si="1"/>
        <v>27799.65753</v>
      </c>
      <c r="E135" s="68">
        <f t="shared" si="2"/>
        <v>38370.65803</v>
      </c>
      <c r="F135" s="73">
        <f t="shared" si="7"/>
        <v>5837778.641</v>
      </c>
      <c r="G135" s="74">
        <f t="shared" si="3"/>
        <v>0.4201227891</v>
      </c>
      <c r="H135" s="74">
        <f t="shared" si="4"/>
        <v>0.5798772109</v>
      </c>
    </row>
    <row r="136">
      <c r="A136" s="65">
        <v>10.0</v>
      </c>
      <c r="B136" s="66">
        <f t="shared" si="5"/>
        <v>109</v>
      </c>
      <c r="C136" s="68">
        <f t="shared" si="8"/>
        <v>66170.31556</v>
      </c>
      <c r="D136" s="68">
        <f t="shared" si="1"/>
        <v>27981.51362</v>
      </c>
      <c r="E136" s="68">
        <f t="shared" si="2"/>
        <v>38188.80194</v>
      </c>
      <c r="F136" s="73">
        <f t="shared" si="7"/>
        <v>5809797.127</v>
      </c>
      <c r="G136" s="74">
        <f t="shared" si="3"/>
        <v>0.4228710923</v>
      </c>
      <c r="H136" s="74">
        <f t="shared" si="4"/>
        <v>0.5771289077</v>
      </c>
    </row>
    <row r="137">
      <c r="A137" s="75"/>
      <c r="B137" s="66">
        <f t="shared" si="5"/>
        <v>110</v>
      </c>
      <c r="C137" s="68">
        <f t="shared" si="8"/>
        <v>66170.31556</v>
      </c>
      <c r="D137" s="68">
        <f t="shared" si="1"/>
        <v>28164.55936</v>
      </c>
      <c r="E137" s="68">
        <f t="shared" si="2"/>
        <v>38005.75621</v>
      </c>
      <c r="F137" s="73">
        <f t="shared" si="7"/>
        <v>5781632.568</v>
      </c>
      <c r="G137" s="74">
        <f t="shared" si="3"/>
        <v>0.425637374</v>
      </c>
      <c r="H137" s="74">
        <f t="shared" si="4"/>
        <v>0.574362626</v>
      </c>
    </row>
    <row r="138">
      <c r="A138" s="75"/>
      <c r="B138" s="66">
        <f t="shared" si="5"/>
        <v>111</v>
      </c>
      <c r="C138" s="68">
        <f t="shared" si="8"/>
        <v>66170.31556</v>
      </c>
      <c r="D138" s="68">
        <f t="shared" si="1"/>
        <v>28348.80252</v>
      </c>
      <c r="E138" s="68">
        <f t="shared" si="2"/>
        <v>37821.51305</v>
      </c>
      <c r="F138" s="73">
        <f t="shared" si="7"/>
        <v>5753283.765</v>
      </c>
      <c r="G138" s="74">
        <f t="shared" si="3"/>
        <v>0.4284217519</v>
      </c>
      <c r="H138" s="74">
        <f t="shared" si="4"/>
        <v>0.5715782481</v>
      </c>
    </row>
    <row r="139">
      <c r="A139" s="75"/>
      <c r="B139" s="66">
        <f t="shared" si="5"/>
        <v>112</v>
      </c>
      <c r="C139" s="68">
        <f t="shared" si="8"/>
        <v>66170.31556</v>
      </c>
      <c r="D139" s="68">
        <f t="shared" si="1"/>
        <v>28534.25093</v>
      </c>
      <c r="E139" s="68">
        <f t="shared" si="2"/>
        <v>37636.06463</v>
      </c>
      <c r="F139" s="73">
        <f t="shared" si="7"/>
        <v>5724749.514</v>
      </c>
      <c r="G139" s="74">
        <f t="shared" si="3"/>
        <v>0.4312243442</v>
      </c>
      <c r="H139" s="74">
        <f t="shared" si="4"/>
        <v>0.5687756558</v>
      </c>
    </row>
    <row r="140">
      <c r="A140" s="75"/>
      <c r="B140" s="66">
        <f t="shared" si="5"/>
        <v>113</v>
      </c>
      <c r="C140" s="68">
        <f t="shared" si="8"/>
        <v>66170.31556</v>
      </c>
      <c r="D140" s="68">
        <f t="shared" si="1"/>
        <v>28720.91249</v>
      </c>
      <c r="E140" s="68">
        <f t="shared" si="2"/>
        <v>37449.40307</v>
      </c>
      <c r="F140" s="73">
        <f t="shared" si="7"/>
        <v>5696028.602</v>
      </c>
      <c r="G140" s="74">
        <f t="shared" si="3"/>
        <v>0.4340452701</v>
      </c>
      <c r="H140" s="74">
        <f t="shared" si="4"/>
        <v>0.5659547299</v>
      </c>
    </row>
    <row r="141">
      <c r="A141" s="75"/>
      <c r="B141" s="66">
        <f t="shared" si="5"/>
        <v>114</v>
      </c>
      <c r="C141" s="68">
        <f t="shared" si="8"/>
        <v>66170.31556</v>
      </c>
      <c r="D141" s="68">
        <f t="shared" si="1"/>
        <v>28908.79513</v>
      </c>
      <c r="E141" s="68">
        <f t="shared" si="2"/>
        <v>37261.52044</v>
      </c>
      <c r="F141" s="73">
        <f t="shared" si="7"/>
        <v>5667119.807</v>
      </c>
      <c r="G141" s="74">
        <f t="shared" si="3"/>
        <v>0.4368846496</v>
      </c>
      <c r="H141" s="74">
        <f t="shared" si="4"/>
        <v>0.5631153504</v>
      </c>
    </row>
    <row r="142">
      <c r="A142" s="75"/>
      <c r="B142" s="66">
        <f t="shared" si="5"/>
        <v>115</v>
      </c>
      <c r="C142" s="68">
        <f t="shared" si="8"/>
        <v>66170.31556</v>
      </c>
      <c r="D142" s="68">
        <f t="shared" si="1"/>
        <v>29097.90683</v>
      </c>
      <c r="E142" s="68">
        <f t="shared" si="2"/>
        <v>37072.40874</v>
      </c>
      <c r="F142" s="73">
        <f t="shared" si="7"/>
        <v>5638021.9</v>
      </c>
      <c r="G142" s="74">
        <f t="shared" si="3"/>
        <v>0.4397426033</v>
      </c>
      <c r="H142" s="74">
        <f t="shared" si="4"/>
        <v>0.5602573967</v>
      </c>
    </row>
    <row r="143">
      <c r="A143" s="75"/>
      <c r="B143" s="66">
        <f t="shared" si="5"/>
        <v>116</v>
      </c>
      <c r="C143" s="68">
        <f t="shared" si="8"/>
        <v>66170.31556</v>
      </c>
      <c r="D143" s="68">
        <f t="shared" si="1"/>
        <v>29288.25563</v>
      </c>
      <c r="E143" s="68">
        <f t="shared" si="2"/>
        <v>36882.05993</v>
      </c>
      <c r="F143" s="73">
        <f t="shared" si="7"/>
        <v>5608733.644</v>
      </c>
      <c r="G143" s="74">
        <f t="shared" si="3"/>
        <v>0.4426192528</v>
      </c>
      <c r="H143" s="74">
        <f t="shared" si="4"/>
        <v>0.5573807472</v>
      </c>
    </row>
    <row r="144">
      <c r="A144" s="75"/>
      <c r="B144" s="66">
        <f t="shared" si="5"/>
        <v>117</v>
      </c>
      <c r="C144" s="68">
        <f t="shared" si="8"/>
        <v>66170.31556</v>
      </c>
      <c r="D144" s="68">
        <f t="shared" si="1"/>
        <v>29479.84964</v>
      </c>
      <c r="E144" s="68">
        <f t="shared" si="2"/>
        <v>36690.46592</v>
      </c>
      <c r="F144" s="73">
        <f t="shared" si="7"/>
        <v>5579253.795</v>
      </c>
      <c r="G144" s="74">
        <f t="shared" si="3"/>
        <v>0.4455147204</v>
      </c>
      <c r="H144" s="74">
        <f t="shared" si="4"/>
        <v>0.5544852796</v>
      </c>
    </row>
    <row r="145">
      <c r="A145" s="75"/>
      <c r="B145" s="66">
        <f t="shared" si="5"/>
        <v>118</v>
      </c>
      <c r="C145" s="68">
        <f t="shared" si="8"/>
        <v>66170.31556</v>
      </c>
      <c r="D145" s="68">
        <f t="shared" si="1"/>
        <v>29672.69699</v>
      </c>
      <c r="E145" s="68">
        <f t="shared" si="2"/>
        <v>36497.61857</v>
      </c>
      <c r="F145" s="73">
        <f t="shared" si="7"/>
        <v>5549581.098</v>
      </c>
      <c r="G145" s="74">
        <f t="shared" si="3"/>
        <v>0.4484291292</v>
      </c>
      <c r="H145" s="74">
        <f t="shared" si="4"/>
        <v>0.5515708708</v>
      </c>
    </row>
    <row r="146">
      <c r="A146" s="75"/>
      <c r="B146" s="66">
        <f t="shared" si="5"/>
        <v>119</v>
      </c>
      <c r="C146" s="68">
        <f t="shared" si="8"/>
        <v>66170.31556</v>
      </c>
      <c r="D146" s="68">
        <f t="shared" si="1"/>
        <v>29866.80588</v>
      </c>
      <c r="E146" s="68">
        <f t="shared" si="2"/>
        <v>36303.50968</v>
      </c>
      <c r="F146" s="73">
        <f t="shared" si="7"/>
        <v>5519714.292</v>
      </c>
      <c r="G146" s="74">
        <f t="shared" si="3"/>
        <v>0.4513626031</v>
      </c>
      <c r="H146" s="74">
        <f t="shared" si="4"/>
        <v>0.5486373969</v>
      </c>
    </row>
    <row r="147">
      <c r="A147" s="75"/>
      <c r="B147" s="66">
        <f t="shared" si="5"/>
        <v>120</v>
      </c>
      <c r="C147" s="68">
        <f t="shared" si="8"/>
        <v>66170.31556</v>
      </c>
      <c r="D147" s="68">
        <f t="shared" si="1"/>
        <v>30062.18457</v>
      </c>
      <c r="E147" s="68">
        <f t="shared" si="2"/>
        <v>36108.13099</v>
      </c>
      <c r="F147" s="73">
        <f t="shared" si="7"/>
        <v>5489652.107</v>
      </c>
      <c r="G147" s="74">
        <f t="shared" si="3"/>
        <v>0.4543152668</v>
      </c>
      <c r="H147" s="74">
        <f t="shared" si="4"/>
        <v>0.5456847332</v>
      </c>
    </row>
    <row r="148">
      <c r="A148" s="65">
        <v>11.0</v>
      </c>
      <c r="B148" s="66">
        <f t="shared" si="5"/>
        <v>121</v>
      </c>
      <c r="C148" s="68">
        <f t="shared" si="8"/>
        <v>66170.31556</v>
      </c>
      <c r="D148" s="68">
        <f t="shared" si="1"/>
        <v>30258.84136</v>
      </c>
      <c r="E148" s="68">
        <f t="shared" si="2"/>
        <v>35911.4742</v>
      </c>
      <c r="F148" s="73">
        <f t="shared" si="7"/>
        <v>5459393.266</v>
      </c>
      <c r="G148" s="74">
        <f t="shared" si="3"/>
        <v>0.4572872459</v>
      </c>
      <c r="H148" s="74">
        <f t="shared" si="4"/>
        <v>0.5427127541</v>
      </c>
    </row>
    <row r="149">
      <c r="A149" s="75"/>
      <c r="B149" s="66">
        <f t="shared" si="5"/>
        <v>122</v>
      </c>
      <c r="C149" s="68">
        <f t="shared" si="8"/>
        <v>66170.31556</v>
      </c>
      <c r="D149" s="68">
        <f t="shared" si="1"/>
        <v>30456.78462</v>
      </c>
      <c r="E149" s="68">
        <f t="shared" si="2"/>
        <v>35713.53095</v>
      </c>
      <c r="F149" s="73">
        <f t="shared" si="7"/>
        <v>5428936.481</v>
      </c>
      <c r="G149" s="74">
        <f t="shared" si="3"/>
        <v>0.4602786666</v>
      </c>
      <c r="H149" s="74">
        <f t="shared" si="4"/>
        <v>0.5397213334</v>
      </c>
    </row>
    <row r="150">
      <c r="A150" s="75"/>
      <c r="B150" s="66">
        <f t="shared" si="5"/>
        <v>123</v>
      </c>
      <c r="C150" s="68">
        <f t="shared" si="8"/>
        <v>66170.31556</v>
      </c>
      <c r="D150" s="68">
        <f t="shared" si="1"/>
        <v>30656.02275</v>
      </c>
      <c r="E150" s="68">
        <f t="shared" si="2"/>
        <v>35514.29281</v>
      </c>
      <c r="F150" s="73">
        <f t="shared" si="7"/>
        <v>5398280.458</v>
      </c>
      <c r="G150" s="74">
        <f t="shared" si="3"/>
        <v>0.4632896562</v>
      </c>
      <c r="H150" s="74">
        <f t="shared" si="4"/>
        <v>0.5367103438</v>
      </c>
    </row>
    <row r="151">
      <c r="A151" s="75"/>
      <c r="B151" s="66">
        <f t="shared" si="5"/>
        <v>124</v>
      </c>
      <c r="C151" s="68">
        <f t="shared" si="8"/>
        <v>66170.31556</v>
      </c>
      <c r="D151" s="68">
        <f t="shared" si="1"/>
        <v>30856.56423</v>
      </c>
      <c r="E151" s="68">
        <f t="shared" si="2"/>
        <v>35313.75133</v>
      </c>
      <c r="F151" s="73">
        <f t="shared" si="7"/>
        <v>5367423.894</v>
      </c>
      <c r="G151" s="74">
        <f t="shared" si="3"/>
        <v>0.4663203427</v>
      </c>
      <c r="H151" s="74">
        <f t="shared" si="4"/>
        <v>0.5336796573</v>
      </c>
    </row>
    <row r="152">
      <c r="A152" s="75"/>
      <c r="B152" s="66">
        <f t="shared" si="5"/>
        <v>125</v>
      </c>
      <c r="C152" s="68">
        <f t="shared" si="8"/>
        <v>66170.31556</v>
      </c>
      <c r="D152" s="68">
        <f t="shared" si="1"/>
        <v>31058.41759</v>
      </c>
      <c r="E152" s="68">
        <f t="shared" si="2"/>
        <v>35111.89797</v>
      </c>
      <c r="F152" s="73">
        <f t="shared" si="7"/>
        <v>5336365.477</v>
      </c>
      <c r="G152" s="74">
        <f t="shared" si="3"/>
        <v>0.469370855</v>
      </c>
      <c r="H152" s="74">
        <f t="shared" si="4"/>
        <v>0.530629145</v>
      </c>
    </row>
    <row r="153">
      <c r="A153" s="75"/>
      <c r="B153" s="66">
        <f t="shared" si="5"/>
        <v>126</v>
      </c>
      <c r="C153" s="68">
        <f t="shared" si="8"/>
        <v>66170.31556</v>
      </c>
      <c r="D153" s="68">
        <f t="shared" si="1"/>
        <v>31261.5914</v>
      </c>
      <c r="E153" s="68">
        <f t="shared" si="2"/>
        <v>34908.72416</v>
      </c>
      <c r="F153" s="73">
        <f t="shared" si="7"/>
        <v>5305103.885</v>
      </c>
      <c r="G153" s="74">
        <f t="shared" si="3"/>
        <v>0.4724413226</v>
      </c>
      <c r="H153" s="74">
        <f t="shared" si="4"/>
        <v>0.5275586774</v>
      </c>
    </row>
    <row r="154">
      <c r="A154" s="75"/>
      <c r="B154" s="66">
        <f t="shared" si="5"/>
        <v>127</v>
      </c>
      <c r="C154" s="68">
        <f t="shared" si="8"/>
        <v>66170.31556</v>
      </c>
      <c r="D154" s="68">
        <f t="shared" si="1"/>
        <v>31466.09431</v>
      </c>
      <c r="E154" s="68">
        <f t="shared" si="2"/>
        <v>34704.22125</v>
      </c>
      <c r="F154" s="73">
        <f t="shared" si="7"/>
        <v>5273637.791</v>
      </c>
      <c r="G154" s="74">
        <f t="shared" si="3"/>
        <v>0.4755318763</v>
      </c>
      <c r="H154" s="74">
        <f t="shared" si="4"/>
        <v>0.5244681237</v>
      </c>
    </row>
    <row r="155">
      <c r="A155" s="75"/>
      <c r="B155" s="66">
        <f t="shared" si="5"/>
        <v>128</v>
      </c>
      <c r="C155" s="68">
        <f t="shared" si="8"/>
        <v>66170.31556</v>
      </c>
      <c r="D155" s="68">
        <f t="shared" si="1"/>
        <v>31671.93501</v>
      </c>
      <c r="E155" s="68">
        <f t="shared" si="2"/>
        <v>34498.38055</v>
      </c>
      <c r="F155" s="73">
        <f t="shared" si="7"/>
        <v>5241965.856</v>
      </c>
      <c r="G155" s="74">
        <f t="shared" si="3"/>
        <v>0.4786426473</v>
      </c>
      <c r="H155" s="74">
        <f t="shared" si="4"/>
        <v>0.5213573527</v>
      </c>
    </row>
    <row r="156">
      <c r="A156" s="75"/>
      <c r="B156" s="66">
        <f t="shared" si="5"/>
        <v>129</v>
      </c>
      <c r="C156" s="68">
        <f t="shared" si="8"/>
        <v>66170.31556</v>
      </c>
      <c r="D156" s="68">
        <f t="shared" si="1"/>
        <v>31879.12226</v>
      </c>
      <c r="E156" s="68">
        <f t="shared" si="2"/>
        <v>34291.19331</v>
      </c>
      <c r="F156" s="73">
        <f t="shared" si="7"/>
        <v>5210086.734</v>
      </c>
      <c r="G156" s="74">
        <f t="shared" si="3"/>
        <v>0.481773768</v>
      </c>
      <c r="H156" s="74">
        <f t="shared" si="4"/>
        <v>0.518226232</v>
      </c>
    </row>
    <row r="157">
      <c r="A157" s="75"/>
      <c r="B157" s="66">
        <f t="shared" si="5"/>
        <v>130</v>
      </c>
      <c r="C157" s="68">
        <f t="shared" si="8"/>
        <v>66170.31556</v>
      </c>
      <c r="D157" s="68">
        <f t="shared" si="1"/>
        <v>32087.66485</v>
      </c>
      <c r="E157" s="68">
        <f t="shared" si="2"/>
        <v>34082.65072</v>
      </c>
      <c r="F157" s="73">
        <f t="shared" si="7"/>
        <v>5177999.069</v>
      </c>
      <c r="G157" s="74">
        <f t="shared" si="3"/>
        <v>0.4849253714</v>
      </c>
      <c r="H157" s="74">
        <f t="shared" si="4"/>
        <v>0.5150746286</v>
      </c>
    </row>
    <row r="158">
      <c r="A158" s="75"/>
      <c r="B158" s="66">
        <f t="shared" si="5"/>
        <v>131</v>
      </c>
      <c r="C158" s="68">
        <f t="shared" si="8"/>
        <v>66170.31556</v>
      </c>
      <c r="D158" s="68">
        <f t="shared" si="1"/>
        <v>32297.57165</v>
      </c>
      <c r="E158" s="68">
        <f t="shared" si="2"/>
        <v>33872.74391</v>
      </c>
      <c r="F158" s="73">
        <f t="shared" si="7"/>
        <v>5145701.497</v>
      </c>
      <c r="G158" s="74">
        <f t="shared" si="3"/>
        <v>0.4880975915</v>
      </c>
      <c r="H158" s="74">
        <f t="shared" si="4"/>
        <v>0.5119024085</v>
      </c>
    </row>
    <row r="159">
      <c r="A159" s="75"/>
      <c r="B159" s="66">
        <f t="shared" si="5"/>
        <v>132</v>
      </c>
      <c r="C159" s="68">
        <f t="shared" si="8"/>
        <v>66170.31556</v>
      </c>
      <c r="D159" s="68">
        <f t="shared" si="1"/>
        <v>32508.8516</v>
      </c>
      <c r="E159" s="68">
        <f t="shared" si="2"/>
        <v>33661.46396</v>
      </c>
      <c r="F159" s="73">
        <f t="shared" si="7"/>
        <v>5113192.646</v>
      </c>
      <c r="G159" s="74">
        <f t="shared" si="3"/>
        <v>0.4912905632</v>
      </c>
      <c r="H159" s="74">
        <f t="shared" si="4"/>
        <v>0.5087094368</v>
      </c>
    </row>
    <row r="160">
      <c r="A160" s="65">
        <v>12.0</v>
      </c>
      <c r="B160" s="66">
        <f t="shared" si="5"/>
        <v>133</v>
      </c>
      <c r="C160" s="68">
        <f t="shared" si="8"/>
        <v>66170.31556</v>
      </c>
      <c r="D160" s="68">
        <f t="shared" si="1"/>
        <v>32721.51367</v>
      </c>
      <c r="E160" s="68">
        <f t="shared" si="2"/>
        <v>33448.80189</v>
      </c>
      <c r="F160" s="73">
        <f t="shared" si="7"/>
        <v>5080471.132</v>
      </c>
      <c r="G160" s="74">
        <f t="shared" si="3"/>
        <v>0.4945044223</v>
      </c>
      <c r="H160" s="74">
        <f t="shared" si="4"/>
        <v>0.5054955777</v>
      </c>
    </row>
    <row r="161">
      <c r="A161" s="75"/>
      <c r="B161" s="66">
        <f t="shared" si="5"/>
        <v>134</v>
      </c>
      <c r="C161" s="68">
        <f t="shared" si="8"/>
        <v>66170.31556</v>
      </c>
      <c r="D161" s="68">
        <f t="shared" si="1"/>
        <v>32935.56691</v>
      </c>
      <c r="E161" s="68">
        <f t="shared" si="2"/>
        <v>33234.74865</v>
      </c>
      <c r="F161" s="73">
        <f t="shared" si="7"/>
        <v>5047535.565</v>
      </c>
      <c r="G161" s="74">
        <f t="shared" si="3"/>
        <v>0.4977393054</v>
      </c>
      <c r="H161" s="74">
        <f t="shared" si="4"/>
        <v>0.5022606946</v>
      </c>
    </row>
    <row r="162">
      <c r="A162" s="75"/>
      <c r="B162" s="66">
        <f t="shared" si="5"/>
        <v>135</v>
      </c>
      <c r="C162" s="68">
        <f t="shared" si="8"/>
        <v>66170.31556</v>
      </c>
      <c r="D162" s="68">
        <f t="shared" si="1"/>
        <v>33151.02041</v>
      </c>
      <c r="E162" s="68">
        <f t="shared" si="2"/>
        <v>33019.29515</v>
      </c>
      <c r="F162" s="73">
        <f t="shared" si="7"/>
        <v>5014384.545</v>
      </c>
      <c r="G162" s="74">
        <f t="shared" si="3"/>
        <v>0.5009953501</v>
      </c>
      <c r="H162" s="74">
        <f t="shared" si="4"/>
        <v>0.4990046499</v>
      </c>
    </row>
    <row r="163">
      <c r="A163" s="75"/>
      <c r="B163" s="66">
        <f t="shared" si="5"/>
        <v>136</v>
      </c>
      <c r="C163" s="68">
        <f t="shared" si="8"/>
        <v>66170.31556</v>
      </c>
      <c r="D163" s="68">
        <f t="shared" si="1"/>
        <v>33367.88333</v>
      </c>
      <c r="E163" s="68">
        <f t="shared" si="2"/>
        <v>32802.43223</v>
      </c>
      <c r="F163" s="73">
        <f t="shared" si="7"/>
        <v>4981016.661</v>
      </c>
      <c r="G163" s="74">
        <f t="shared" si="3"/>
        <v>0.5042726946</v>
      </c>
      <c r="H163" s="74">
        <f t="shared" si="4"/>
        <v>0.4957273054</v>
      </c>
    </row>
    <row r="164">
      <c r="A164" s="75"/>
      <c r="B164" s="66">
        <f t="shared" si="5"/>
        <v>137</v>
      </c>
      <c r="C164" s="68">
        <f t="shared" si="8"/>
        <v>66170.31556</v>
      </c>
      <c r="D164" s="68">
        <f t="shared" si="1"/>
        <v>33586.1649</v>
      </c>
      <c r="E164" s="68">
        <f t="shared" si="2"/>
        <v>32584.15066</v>
      </c>
      <c r="F164" s="73">
        <f t="shared" si="7"/>
        <v>4947430.496</v>
      </c>
      <c r="G164" s="74">
        <f t="shared" si="3"/>
        <v>0.5075714785</v>
      </c>
      <c r="H164" s="74">
        <f t="shared" si="4"/>
        <v>0.4924285215</v>
      </c>
    </row>
    <row r="165">
      <c r="A165" s="75"/>
      <c r="B165" s="66">
        <f t="shared" si="5"/>
        <v>138</v>
      </c>
      <c r="C165" s="68">
        <f t="shared" si="8"/>
        <v>66170.31556</v>
      </c>
      <c r="D165" s="68">
        <f t="shared" si="1"/>
        <v>33805.8744</v>
      </c>
      <c r="E165" s="68">
        <f t="shared" si="2"/>
        <v>32364.44116</v>
      </c>
      <c r="F165" s="73">
        <f t="shared" si="7"/>
        <v>4913624.622</v>
      </c>
      <c r="G165" s="74">
        <f t="shared" si="3"/>
        <v>0.5108918419</v>
      </c>
      <c r="H165" s="74">
        <f t="shared" si="4"/>
        <v>0.4891081581</v>
      </c>
    </row>
    <row r="166">
      <c r="A166" s="75"/>
      <c r="B166" s="66">
        <f t="shared" si="5"/>
        <v>139</v>
      </c>
      <c r="C166" s="68">
        <f t="shared" si="8"/>
        <v>66170.31556</v>
      </c>
      <c r="D166" s="68">
        <f t="shared" si="1"/>
        <v>34027.02116</v>
      </c>
      <c r="E166" s="68">
        <f t="shared" si="2"/>
        <v>32143.2944</v>
      </c>
      <c r="F166" s="73">
        <f t="shared" si="7"/>
        <v>4879597.601</v>
      </c>
      <c r="G166" s="74">
        <f t="shared" si="3"/>
        <v>0.5142339261</v>
      </c>
      <c r="H166" s="74">
        <f t="shared" si="4"/>
        <v>0.4857660739</v>
      </c>
    </row>
    <row r="167">
      <c r="A167" s="75"/>
      <c r="B167" s="66">
        <f t="shared" si="5"/>
        <v>140</v>
      </c>
      <c r="C167" s="68">
        <f t="shared" si="8"/>
        <v>66170.31556</v>
      </c>
      <c r="D167" s="68">
        <f t="shared" si="1"/>
        <v>34249.61459</v>
      </c>
      <c r="E167" s="68">
        <f t="shared" si="2"/>
        <v>31920.70097</v>
      </c>
      <c r="F167" s="73">
        <f t="shared" si="7"/>
        <v>4845347.986</v>
      </c>
      <c r="G167" s="74">
        <f t="shared" si="3"/>
        <v>0.517597873</v>
      </c>
      <c r="H167" s="74">
        <f t="shared" si="4"/>
        <v>0.482402127</v>
      </c>
    </row>
    <row r="168">
      <c r="A168" s="75"/>
      <c r="B168" s="66">
        <f t="shared" si="5"/>
        <v>141</v>
      </c>
      <c r="C168" s="68">
        <f t="shared" si="8"/>
        <v>66170.31556</v>
      </c>
      <c r="D168" s="68">
        <f t="shared" si="1"/>
        <v>34473.66415</v>
      </c>
      <c r="E168" s="68">
        <f t="shared" si="2"/>
        <v>31696.65141</v>
      </c>
      <c r="F168" s="73">
        <f t="shared" si="7"/>
        <v>4810874.322</v>
      </c>
      <c r="G168" s="74">
        <f t="shared" si="3"/>
        <v>0.5209838258</v>
      </c>
      <c r="H168" s="74">
        <f t="shared" si="4"/>
        <v>0.4790161742</v>
      </c>
    </row>
    <row r="169">
      <c r="A169" s="75"/>
      <c r="B169" s="66">
        <f t="shared" si="5"/>
        <v>142</v>
      </c>
      <c r="C169" s="68">
        <f t="shared" si="8"/>
        <v>66170.31556</v>
      </c>
      <c r="D169" s="68">
        <f t="shared" si="1"/>
        <v>34699.17937</v>
      </c>
      <c r="E169" s="68">
        <f t="shared" si="2"/>
        <v>31471.13619</v>
      </c>
      <c r="F169" s="73">
        <f t="shared" si="7"/>
        <v>4776175.143</v>
      </c>
      <c r="G169" s="74">
        <f t="shared" si="3"/>
        <v>0.5243919283</v>
      </c>
      <c r="H169" s="74">
        <f t="shared" si="4"/>
        <v>0.4756080717</v>
      </c>
    </row>
    <row r="170">
      <c r="A170" s="75"/>
      <c r="B170" s="66">
        <f t="shared" si="5"/>
        <v>143</v>
      </c>
      <c r="C170" s="68">
        <f t="shared" si="8"/>
        <v>66170.31556</v>
      </c>
      <c r="D170" s="68">
        <f t="shared" si="1"/>
        <v>34926.16984</v>
      </c>
      <c r="E170" s="68">
        <f t="shared" si="2"/>
        <v>31244.14572</v>
      </c>
      <c r="F170" s="73">
        <f t="shared" si="7"/>
        <v>4741248.973</v>
      </c>
      <c r="G170" s="74">
        <f t="shared" si="3"/>
        <v>0.5278223255</v>
      </c>
      <c r="H170" s="74">
        <f t="shared" si="4"/>
        <v>0.4721776745</v>
      </c>
    </row>
    <row r="171">
      <c r="A171" s="75"/>
      <c r="B171" s="66">
        <f t="shared" si="5"/>
        <v>144</v>
      </c>
      <c r="C171" s="68">
        <f t="shared" si="8"/>
        <v>66170.31556</v>
      </c>
      <c r="D171" s="68">
        <f t="shared" si="1"/>
        <v>35154.6452</v>
      </c>
      <c r="E171" s="68">
        <f t="shared" si="2"/>
        <v>31015.67036</v>
      </c>
      <c r="F171" s="73">
        <f t="shared" si="7"/>
        <v>4706094.328</v>
      </c>
      <c r="G171" s="74">
        <f t="shared" si="3"/>
        <v>0.5312751632</v>
      </c>
      <c r="H171" s="74">
        <f t="shared" si="4"/>
        <v>0.4687248368</v>
      </c>
    </row>
    <row r="172">
      <c r="A172" s="65">
        <v>13.0</v>
      </c>
      <c r="B172" s="66">
        <f t="shared" si="5"/>
        <v>145</v>
      </c>
      <c r="C172" s="68">
        <f t="shared" si="8"/>
        <v>66170.31556</v>
      </c>
      <c r="D172" s="68">
        <f t="shared" si="1"/>
        <v>35384.61517</v>
      </c>
      <c r="E172" s="68">
        <f t="shared" si="2"/>
        <v>30785.70039</v>
      </c>
      <c r="F172" s="73">
        <f t="shared" si="7"/>
        <v>4670709.712</v>
      </c>
      <c r="G172" s="74">
        <f t="shared" si="3"/>
        <v>0.5347505882</v>
      </c>
      <c r="H172" s="74">
        <f t="shared" si="4"/>
        <v>0.4652494118</v>
      </c>
    </row>
    <row r="173">
      <c r="A173" s="75"/>
      <c r="B173" s="66">
        <f t="shared" si="5"/>
        <v>146</v>
      </c>
      <c r="C173" s="68">
        <f t="shared" si="8"/>
        <v>66170.31556</v>
      </c>
      <c r="D173" s="68">
        <f t="shared" si="1"/>
        <v>35616.08953</v>
      </c>
      <c r="E173" s="68">
        <f t="shared" si="2"/>
        <v>30554.22604</v>
      </c>
      <c r="F173" s="73">
        <f t="shared" si="7"/>
        <v>4635093.623</v>
      </c>
      <c r="G173" s="74">
        <f t="shared" si="3"/>
        <v>0.5382487483</v>
      </c>
      <c r="H173" s="74">
        <f t="shared" si="4"/>
        <v>0.4617512517</v>
      </c>
    </row>
    <row r="174">
      <c r="A174" s="75"/>
      <c r="B174" s="76">
        <f t="shared" si="5"/>
        <v>147</v>
      </c>
      <c r="C174" s="77">
        <f t="shared" si="8"/>
        <v>66170.31556</v>
      </c>
      <c r="D174" s="77">
        <f t="shared" si="1"/>
        <v>35849.07811</v>
      </c>
      <c r="E174" s="77">
        <f t="shared" si="2"/>
        <v>30321.23745</v>
      </c>
      <c r="F174" s="78">
        <f t="shared" si="7"/>
        <v>4599244.545</v>
      </c>
      <c r="G174" s="79">
        <f t="shared" si="3"/>
        <v>0.5417697922</v>
      </c>
      <c r="H174" s="79">
        <f t="shared" si="4"/>
        <v>0.4582302078</v>
      </c>
    </row>
    <row r="175">
      <c r="A175" s="75"/>
      <c r="B175" s="66">
        <f t="shared" si="5"/>
        <v>148</v>
      </c>
      <c r="C175" s="68">
        <f t="shared" si="8"/>
        <v>66170.31556</v>
      </c>
      <c r="D175" s="68">
        <f t="shared" si="1"/>
        <v>36083.59083</v>
      </c>
      <c r="E175" s="68">
        <f t="shared" si="2"/>
        <v>30086.72473</v>
      </c>
      <c r="F175" s="73">
        <f t="shared" si="7"/>
        <v>4563160.954</v>
      </c>
      <c r="G175" s="74">
        <f t="shared" si="3"/>
        <v>0.5453138696</v>
      </c>
      <c r="H175" s="74">
        <f t="shared" si="4"/>
        <v>0.4546861304</v>
      </c>
    </row>
    <row r="176">
      <c r="A176" s="80"/>
      <c r="B176" s="81">
        <f t="shared" si="5"/>
        <v>149</v>
      </c>
      <c r="C176" s="82">
        <f t="shared" si="8"/>
        <v>66170.31556</v>
      </c>
      <c r="D176" s="82">
        <f t="shared" si="1"/>
        <v>36319.63766</v>
      </c>
      <c r="E176" s="82">
        <f t="shared" si="2"/>
        <v>29850.67791</v>
      </c>
      <c r="F176" s="83">
        <f t="shared" si="7"/>
        <v>4526841.316</v>
      </c>
      <c r="G176" s="84">
        <f t="shared" si="3"/>
        <v>0.5488811312</v>
      </c>
      <c r="H176" s="84">
        <f t="shared" si="4"/>
        <v>0.4511188688</v>
      </c>
    </row>
    <row r="177">
      <c r="A177" s="75"/>
      <c r="B177" s="66">
        <f t="shared" si="5"/>
        <v>150</v>
      </c>
      <c r="C177" s="68">
        <f t="shared" si="8"/>
        <v>66170.31556</v>
      </c>
      <c r="D177" s="68">
        <f t="shared" si="1"/>
        <v>36557.22862</v>
      </c>
      <c r="E177" s="68">
        <f t="shared" si="2"/>
        <v>29613.08694</v>
      </c>
      <c r="F177" s="73">
        <f t="shared" si="7"/>
        <v>4490284.088</v>
      </c>
      <c r="G177" s="74">
        <f t="shared" si="3"/>
        <v>0.5524717286</v>
      </c>
      <c r="H177" s="74">
        <f t="shared" si="4"/>
        <v>0.4475282714</v>
      </c>
    </row>
    <row r="178">
      <c r="A178" s="75"/>
      <c r="B178" s="66">
        <f t="shared" si="5"/>
        <v>151</v>
      </c>
      <c r="C178" s="68">
        <f t="shared" si="8"/>
        <v>66170.31556</v>
      </c>
      <c r="D178" s="68">
        <f t="shared" si="1"/>
        <v>36796.37382</v>
      </c>
      <c r="E178" s="68">
        <f t="shared" si="2"/>
        <v>29373.94174</v>
      </c>
      <c r="F178" s="73">
        <f t="shared" si="7"/>
        <v>4453487.714</v>
      </c>
      <c r="G178" s="74">
        <f t="shared" si="3"/>
        <v>0.5560858145</v>
      </c>
      <c r="H178" s="74">
        <f t="shared" si="4"/>
        <v>0.4439141855</v>
      </c>
    </row>
    <row r="179">
      <c r="A179" s="75"/>
      <c r="B179" s="66">
        <f t="shared" si="5"/>
        <v>152</v>
      </c>
      <c r="C179" s="68">
        <f t="shared" si="8"/>
        <v>66170.31556</v>
      </c>
      <c r="D179" s="68">
        <f t="shared" si="1"/>
        <v>37037.08343</v>
      </c>
      <c r="E179" s="68">
        <f t="shared" si="2"/>
        <v>29133.23213</v>
      </c>
      <c r="F179" s="73">
        <f t="shared" si="7"/>
        <v>4416450.63</v>
      </c>
      <c r="G179" s="74">
        <f t="shared" si="3"/>
        <v>0.5597235425</v>
      </c>
      <c r="H179" s="74">
        <f t="shared" si="4"/>
        <v>0.4402764575</v>
      </c>
    </row>
    <row r="180">
      <c r="A180" s="75"/>
      <c r="B180" s="66">
        <f t="shared" si="5"/>
        <v>153</v>
      </c>
      <c r="C180" s="68">
        <f t="shared" si="8"/>
        <v>66170.31556</v>
      </c>
      <c r="D180" s="68">
        <f t="shared" si="1"/>
        <v>37279.36769</v>
      </c>
      <c r="E180" s="68">
        <f t="shared" si="2"/>
        <v>28890.94787</v>
      </c>
      <c r="F180" s="73">
        <f t="shared" si="7"/>
        <v>4379171.263</v>
      </c>
      <c r="G180" s="74">
        <f t="shared" si="3"/>
        <v>0.5633850673</v>
      </c>
      <c r="H180" s="74">
        <f t="shared" si="4"/>
        <v>0.4366149327</v>
      </c>
    </row>
    <row r="181">
      <c r="A181" s="75"/>
      <c r="B181" s="66">
        <f t="shared" si="5"/>
        <v>154</v>
      </c>
      <c r="C181" s="68">
        <f t="shared" si="8"/>
        <v>66170.31556</v>
      </c>
      <c r="D181" s="68">
        <f t="shared" si="1"/>
        <v>37523.23689</v>
      </c>
      <c r="E181" s="68">
        <f t="shared" si="2"/>
        <v>28647.07868</v>
      </c>
      <c r="F181" s="73">
        <f t="shared" si="7"/>
        <v>4341648.026</v>
      </c>
      <c r="G181" s="74">
        <f t="shared" si="3"/>
        <v>0.5670705447</v>
      </c>
      <c r="H181" s="74">
        <f t="shared" si="4"/>
        <v>0.4329294553</v>
      </c>
    </row>
    <row r="182">
      <c r="A182" s="75"/>
      <c r="B182" s="66">
        <f t="shared" si="5"/>
        <v>155</v>
      </c>
      <c r="C182" s="68">
        <f t="shared" si="8"/>
        <v>66170.31556</v>
      </c>
      <c r="D182" s="68">
        <f t="shared" si="1"/>
        <v>37768.70139</v>
      </c>
      <c r="E182" s="68">
        <f t="shared" si="2"/>
        <v>28401.61417</v>
      </c>
      <c r="F182" s="73">
        <f t="shared" si="7"/>
        <v>4303879.324</v>
      </c>
      <c r="G182" s="74">
        <f t="shared" si="3"/>
        <v>0.5707801311</v>
      </c>
      <c r="H182" s="74">
        <f t="shared" si="4"/>
        <v>0.4292198689</v>
      </c>
    </row>
    <row r="183">
      <c r="A183" s="75"/>
      <c r="B183" s="66">
        <f t="shared" si="5"/>
        <v>156</v>
      </c>
      <c r="C183" s="68">
        <f t="shared" si="8"/>
        <v>66170.31556</v>
      </c>
      <c r="D183" s="68">
        <f t="shared" si="1"/>
        <v>38015.77165</v>
      </c>
      <c r="E183" s="68">
        <f t="shared" si="2"/>
        <v>28154.54391</v>
      </c>
      <c r="F183" s="73">
        <f t="shared" si="7"/>
        <v>4265863.553</v>
      </c>
      <c r="G183" s="74">
        <f t="shared" si="3"/>
        <v>0.5745139845</v>
      </c>
      <c r="H183" s="74">
        <f t="shared" si="4"/>
        <v>0.4254860155</v>
      </c>
    </row>
    <row r="184">
      <c r="A184" s="65">
        <v>14.0</v>
      </c>
      <c r="B184" s="66">
        <f t="shared" si="5"/>
        <v>157</v>
      </c>
      <c r="C184" s="68">
        <f t="shared" si="8"/>
        <v>66170.31556</v>
      </c>
      <c r="D184" s="68">
        <f t="shared" si="1"/>
        <v>38264.45815</v>
      </c>
      <c r="E184" s="68">
        <f t="shared" si="2"/>
        <v>27905.85741</v>
      </c>
      <c r="F184" s="73">
        <f t="shared" si="7"/>
        <v>4227599.095</v>
      </c>
      <c r="G184" s="74">
        <f t="shared" si="3"/>
        <v>0.5782722635</v>
      </c>
      <c r="H184" s="74">
        <f t="shared" si="4"/>
        <v>0.4217277365</v>
      </c>
    </row>
    <row r="185">
      <c r="A185" s="75"/>
      <c r="B185" s="66">
        <f t="shared" si="5"/>
        <v>158</v>
      </c>
      <c r="C185" s="68">
        <f t="shared" si="8"/>
        <v>66170.31556</v>
      </c>
      <c r="D185" s="68">
        <f t="shared" si="1"/>
        <v>38514.77149</v>
      </c>
      <c r="E185" s="68">
        <f t="shared" si="2"/>
        <v>27655.54408</v>
      </c>
      <c r="F185" s="73">
        <f t="shared" si="7"/>
        <v>4189084.323</v>
      </c>
      <c r="G185" s="74">
        <f t="shared" si="3"/>
        <v>0.5820551279</v>
      </c>
      <c r="H185" s="74">
        <f t="shared" si="4"/>
        <v>0.4179448721</v>
      </c>
    </row>
    <row r="186">
      <c r="A186" s="75"/>
      <c r="B186" s="66">
        <f t="shared" si="5"/>
        <v>159</v>
      </c>
      <c r="C186" s="68">
        <f t="shared" si="8"/>
        <v>66170.31556</v>
      </c>
      <c r="D186" s="68">
        <f t="shared" si="1"/>
        <v>38766.72228</v>
      </c>
      <c r="E186" s="68">
        <f t="shared" si="2"/>
        <v>27403.59328</v>
      </c>
      <c r="F186" s="73">
        <f t="shared" si="7"/>
        <v>4150317.601</v>
      </c>
      <c r="G186" s="74">
        <f t="shared" si="3"/>
        <v>0.5858627385</v>
      </c>
      <c r="H186" s="74">
        <f t="shared" si="4"/>
        <v>0.4141372615</v>
      </c>
    </row>
    <row r="187">
      <c r="A187" s="75"/>
      <c r="B187" s="66">
        <f t="shared" si="5"/>
        <v>160</v>
      </c>
      <c r="C187" s="68">
        <f t="shared" si="8"/>
        <v>66170.31556</v>
      </c>
      <c r="D187" s="68">
        <f t="shared" si="1"/>
        <v>39020.32126</v>
      </c>
      <c r="E187" s="68">
        <f t="shared" si="2"/>
        <v>27149.99431</v>
      </c>
      <c r="F187" s="73">
        <f t="shared" si="7"/>
        <v>4111297.28</v>
      </c>
      <c r="G187" s="74">
        <f t="shared" si="3"/>
        <v>0.5896952572</v>
      </c>
      <c r="H187" s="74">
        <f t="shared" si="4"/>
        <v>0.4103047428</v>
      </c>
    </row>
    <row r="188">
      <c r="A188" s="75"/>
      <c r="B188" s="66">
        <f t="shared" si="5"/>
        <v>161</v>
      </c>
      <c r="C188" s="68">
        <f t="shared" si="8"/>
        <v>66170.31556</v>
      </c>
      <c r="D188" s="68">
        <f t="shared" si="1"/>
        <v>39275.57919</v>
      </c>
      <c r="E188" s="68">
        <f t="shared" si="2"/>
        <v>26894.73637</v>
      </c>
      <c r="F188" s="73">
        <f t="shared" si="7"/>
        <v>4072021.7</v>
      </c>
      <c r="G188" s="74">
        <f t="shared" si="3"/>
        <v>0.593552847</v>
      </c>
      <c r="H188" s="74">
        <f t="shared" si="4"/>
        <v>0.406447153</v>
      </c>
    </row>
    <row r="189">
      <c r="A189" s="75"/>
      <c r="B189" s="66">
        <f t="shared" si="5"/>
        <v>162</v>
      </c>
      <c r="C189" s="68">
        <f t="shared" si="8"/>
        <v>66170.31556</v>
      </c>
      <c r="D189" s="68">
        <f t="shared" si="1"/>
        <v>39532.50694</v>
      </c>
      <c r="E189" s="68">
        <f t="shared" si="2"/>
        <v>26637.80862</v>
      </c>
      <c r="F189" s="73">
        <f t="shared" si="7"/>
        <v>4032489.193</v>
      </c>
      <c r="G189" s="74">
        <f t="shared" si="3"/>
        <v>0.5974356719</v>
      </c>
      <c r="H189" s="74">
        <f t="shared" si="4"/>
        <v>0.4025643281</v>
      </c>
    </row>
    <row r="190">
      <c r="A190" s="75"/>
      <c r="B190" s="66">
        <f t="shared" si="5"/>
        <v>163</v>
      </c>
      <c r="C190" s="68">
        <f t="shared" si="8"/>
        <v>66170.31556</v>
      </c>
      <c r="D190" s="68">
        <f t="shared" si="1"/>
        <v>39791.11542</v>
      </c>
      <c r="E190" s="68">
        <f t="shared" si="2"/>
        <v>26379.20014</v>
      </c>
      <c r="F190" s="73">
        <f t="shared" si="7"/>
        <v>3992698.078</v>
      </c>
      <c r="G190" s="74">
        <f t="shared" si="3"/>
        <v>0.6013438969</v>
      </c>
      <c r="H190" s="74">
        <f t="shared" si="4"/>
        <v>0.3986561031</v>
      </c>
    </row>
    <row r="191">
      <c r="A191" s="75"/>
      <c r="B191" s="66">
        <f t="shared" si="5"/>
        <v>164</v>
      </c>
      <c r="C191" s="68">
        <f t="shared" si="8"/>
        <v>66170.31556</v>
      </c>
      <c r="D191" s="68">
        <f t="shared" si="1"/>
        <v>40051.41564</v>
      </c>
      <c r="E191" s="68">
        <f t="shared" si="2"/>
        <v>26118.89993</v>
      </c>
      <c r="F191" s="73">
        <f t="shared" si="7"/>
        <v>3952646.662</v>
      </c>
      <c r="G191" s="74">
        <f t="shared" si="3"/>
        <v>0.6052776883</v>
      </c>
      <c r="H191" s="74">
        <f t="shared" si="4"/>
        <v>0.3947223117</v>
      </c>
    </row>
    <row r="192">
      <c r="A192" s="75"/>
      <c r="B192" s="66">
        <f t="shared" si="5"/>
        <v>165</v>
      </c>
      <c r="C192" s="68">
        <f t="shared" si="8"/>
        <v>66170.31556</v>
      </c>
      <c r="D192" s="68">
        <f t="shared" si="1"/>
        <v>40313.41865</v>
      </c>
      <c r="E192" s="68">
        <f t="shared" si="2"/>
        <v>25856.89692</v>
      </c>
      <c r="F192" s="73">
        <f t="shared" si="7"/>
        <v>3912333.244</v>
      </c>
      <c r="G192" s="74">
        <f t="shared" si="3"/>
        <v>0.6092372131</v>
      </c>
      <c r="H192" s="74">
        <f t="shared" si="4"/>
        <v>0.3907627869</v>
      </c>
    </row>
    <row r="193">
      <c r="A193" s="75"/>
      <c r="B193" s="66">
        <f t="shared" si="5"/>
        <v>166</v>
      </c>
      <c r="C193" s="68">
        <f t="shared" si="8"/>
        <v>66170.31556</v>
      </c>
      <c r="D193" s="68">
        <f t="shared" si="1"/>
        <v>40577.13559</v>
      </c>
      <c r="E193" s="68">
        <f t="shared" si="2"/>
        <v>25593.17997</v>
      </c>
      <c r="F193" s="73">
        <f t="shared" si="7"/>
        <v>3871756.108</v>
      </c>
      <c r="G193" s="74">
        <f t="shared" si="3"/>
        <v>0.6132226399</v>
      </c>
      <c r="H193" s="74">
        <f t="shared" si="4"/>
        <v>0.3867773601</v>
      </c>
    </row>
    <row r="194">
      <c r="A194" s="75"/>
      <c r="B194" s="66">
        <f t="shared" si="5"/>
        <v>167</v>
      </c>
      <c r="C194" s="68">
        <f t="shared" si="8"/>
        <v>66170.31556</v>
      </c>
      <c r="D194" s="68">
        <f t="shared" si="1"/>
        <v>40842.57769</v>
      </c>
      <c r="E194" s="68">
        <f t="shared" si="2"/>
        <v>25327.73787</v>
      </c>
      <c r="F194" s="73">
        <f t="shared" si="7"/>
        <v>3830913.53</v>
      </c>
      <c r="G194" s="74">
        <f t="shared" si="3"/>
        <v>0.617234138</v>
      </c>
      <c r="H194" s="74">
        <f t="shared" si="4"/>
        <v>0.382765862</v>
      </c>
    </row>
    <row r="195">
      <c r="A195" s="75"/>
      <c r="B195" s="66">
        <f t="shared" si="5"/>
        <v>168</v>
      </c>
      <c r="C195" s="68">
        <f t="shared" si="8"/>
        <v>66170.31556</v>
      </c>
      <c r="D195" s="68">
        <f t="shared" si="1"/>
        <v>41109.75622</v>
      </c>
      <c r="E195" s="68">
        <f t="shared" si="2"/>
        <v>25060.55935</v>
      </c>
      <c r="F195" s="73">
        <f t="shared" si="7"/>
        <v>3789803.774</v>
      </c>
      <c r="G195" s="74">
        <f t="shared" si="3"/>
        <v>0.621271878</v>
      </c>
      <c r="H195" s="74">
        <f t="shared" si="4"/>
        <v>0.378728122</v>
      </c>
    </row>
    <row r="196">
      <c r="A196" s="65">
        <v>15.0</v>
      </c>
      <c r="B196" s="66">
        <f t="shared" si="5"/>
        <v>169</v>
      </c>
      <c r="C196" s="68">
        <f t="shared" si="8"/>
        <v>66170.31556</v>
      </c>
      <c r="D196" s="68">
        <f t="shared" si="1"/>
        <v>41378.68254</v>
      </c>
      <c r="E196" s="68">
        <f t="shared" si="2"/>
        <v>24791.63302</v>
      </c>
      <c r="F196" s="73">
        <f t="shared" si="7"/>
        <v>3748425.092</v>
      </c>
      <c r="G196" s="74">
        <f t="shared" si="3"/>
        <v>0.6253360315</v>
      </c>
      <c r="H196" s="74">
        <f t="shared" si="4"/>
        <v>0.3746639685</v>
      </c>
    </row>
    <row r="197">
      <c r="A197" s="75"/>
      <c r="B197" s="66">
        <f t="shared" si="5"/>
        <v>170</v>
      </c>
      <c r="C197" s="68">
        <f t="shared" si="8"/>
        <v>66170.31556</v>
      </c>
      <c r="D197" s="68">
        <f t="shared" si="1"/>
        <v>41649.36809</v>
      </c>
      <c r="E197" s="68">
        <f t="shared" si="2"/>
        <v>24520.94748</v>
      </c>
      <c r="F197" s="73">
        <f t="shared" si="7"/>
        <v>3706775.724</v>
      </c>
      <c r="G197" s="74">
        <f t="shared" si="3"/>
        <v>0.6294267714</v>
      </c>
      <c r="H197" s="74">
        <f t="shared" si="4"/>
        <v>0.3705732286</v>
      </c>
    </row>
    <row r="198">
      <c r="A198" s="75"/>
      <c r="B198" s="66">
        <f t="shared" si="5"/>
        <v>171</v>
      </c>
      <c r="C198" s="68">
        <f t="shared" si="8"/>
        <v>66170.31556</v>
      </c>
      <c r="D198" s="68">
        <f t="shared" si="1"/>
        <v>41921.82437</v>
      </c>
      <c r="E198" s="68">
        <f t="shared" si="2"/>
        <v>24248.49119</v>
      </c>
      <c r="F198" s="73">
        <f t="shared" si="7"/>
        <v>3664853.899</v>
      </c>
      <c r="G198" s="74">
        <f t="shared" si="3"/>
        <v>0.6335442715</v>
      </c>
      <c r="H198" s="74">
        <f t="shared" si="4"/>
        <v>0.3664557285</v>
      </c>
    </row>
    <row r="199">
      <c r="A199" s="75"/>
      <c r="B199" s="66">
        <f t="shared" si="5"/>
        <v>172</v>
      </c>
      <c r="C199" s="68">
        <f t="shared" si="8"/>
        <v>66170.31556</v>
      </c>
      <c r="D199" s="68">
        <f t="shared" si="1"/>
        <v>42196.06297</v>
      </c>
      <c r="E199" s="68">
        <f t="shared" si="2"/>
        <v>23974.25259</v>
      </c>
      <c r="F199" s="73">
        <f t="shared" si="7"/>
        <v>3622657.836</v>
      </c>
      <c r="G199" s="74">
        <f t="shared" si="3"/>
        <v>0.637688707</v>
      </c>
      <c r="H199" s="74">
        <f t="shared" si="4"/>
        <v>0.362311293</v>
      </c>
    </row>
    <row r="200">
      <c r="A200" s="75"/>
      <c r="B200" s="66">
        <f t="shared" si="5"/>
        <v>173</v>
      </c>
      <c r="C200" s="68">
        <f t="shared" si="8"/>
        <v>66170.31556</v>
      </c>
      <c r="D200" s="68">
        <f t="shared" si="1"/>
        <v>42472.09555</v>
      </c>
      <c r="E200" s="68">
        <f t="shared" si="2"/>
        <v>23698.22001</v>
      </c>
      <c r="F200" s="73">
        <f t="shared" si="7"/>
        <v>3580185.741</v>
      </c>
      <c r="G200" s="74">
        <f t="shared" si="3"/>
        <v>0.6418602539</v>
      </c>
      <c r="H200" s="74">
        <f t="shared" si="4"/>
        <v>0.3581397461</v>
      </c>
    </row>
    <row r="201">
      <c r="A201" s="75"/>
      <c r="B201" s="66">
        <f t="shared" si="5"/>
        <v>174</v>
      </c>
      <c r="C201" s="68">
        <f t="shared" si="8"/>
        <v>66170.31556</v>
      </c>
      <c r="D201" s="68">
        <f t="shared" si="1"/>
        <v>42749.93384</v>
      </c>
      <c r="E201" s="68">
        <f t="shared" si="2"/>
        <v>23420.38172</v>
      </c>
      <c r="F201" s="73">
        <f t="shared" si="7"/>
        <v>3537435.807</v>
      </c>
      <c r="G201" s="74">
        <f t="shared" si="3"/>
        <v>0.6460590898</v>
      </c>
      <c r="H201" s="74">
        <f t="shared" si="4"/>
        <v>0.3539409102</v>
      </c>
    </row>
    <row r="202">
      <c r="A202" s="75"/>
      <c r="B202" s="66">
        <f t="shared" si="5"/>
        <v>175</v>
      </c>
      <c r="C202" s="68">
        <f t="shared" si="8"/>
        <v>66170.31556</v>
      </c>
      <c r="D202" s="68">
        <f t="shared" si="1"/>
        <v>43029.58966</v>
      </c>
      <c r="E202" s="68">
        <f t="shared" si="2"/>
        <v>23140.7259</v>
      </c>
      <c r="F202" s="73">
        <f t="shared" si="7"/>
        <v>3494406.217</v>
      </c>
      <c r="G202" s="74">
        <f t="shared" si="3"/>
        <v>0.650285393</v>
      </c>
      <c r="H202" s="74">
        <f t="shared" si="4"/>
        <v>0.349714607</v>
      </c>
    </row>
    <row r="203">
      <c r="A203" s="75"/>
      <c r="B203" s="66">
        <f t="shared" si="5"/>
        <v>176</v>
      </c>
      <c r="C203" s="68">
        <f t="shared" si="8"/>
        <v>66170.31556</v>
      </c>
      <c r="D203" s="68">
        <f t="shared" si="1"/>
        <v>43311.07489</v>
      </c>
      <c r="E203" s="68">
        <f t="shared" si="2"/>
        <v>22859.24067</v>
      </c>
      <c r="F203" s="73">
        <f t="shared" si="7"/>
        <v>3451095.142</v>
      </c>
      <c r="G203" s="74">
        <f t="shared" si="3"/>
        <v>0.6545393433</v>
      </c>
      <c r="H203" s="74">
        <f t="shared" si="4"/>
        <v>0.3454606567</v>
      </c>
    </row>
    <row r="204">
      <c r="A204" s="75"/>
      <c r="B204" s="66">
        <f t="shared" si="5"/>
        <v>177</v>
      </c>
      <c r="C204" s="68">
        <f t="shared" si="8"/>
        <v>66170.31556</v>
      </c>
      <c r="D204" s="68">
        <f t="shared" si="1"/>
        <v>43594.40151</v>
      </c>
      <c r="E204" s="68">
        <f t="shared" si="2"/>
        <v>22575.91406</v>
      </c>
      <c r="F204" s="73">
        <f t="shared" si="7"/>
        <v>3407500.741</v>
      </c>
      <c r="G204" s="74">
        <f t="shared" si="3"/>
        <v>0.6588211215</v>
      </c>
      <c r="H204" s="74">
        <f t="shared" si="4"/>
        <v>0.3411788785</v>
      </c>
    </row>
    <row r="205">
      <c r="A205" s="75"/>
      <c r="B205" s="66">
        <f t="shared" si="5"/>
        <v>178</v>
      </c>
      <c r="C205" s="68">
        <f t="shared" si="8"/>
        <v>66170.31556</v>
      </c>
      <c r="D205" s="68">
        <f t="shared" si="1"/>
        <v>43879.58155</v>
      </c>
      <c r="E205" s="68">
        <f t="shared" si="2"/>
        <v>22290.73401</v>
      </c>
      <c r="F205" s="73">
        <f t="shared" si="7"/>
        <v>3363621.159</v>
      </c>
      <c r="G205" s="74">
        <f t="shared" si="3"/>
        <v>0.6631309096</v>
      </c>
      <c r="H205" s="74">
        <f t="shared" si="4"/>
        <v>0.3368690904</v>
      </c>
    </row>
    <row r="206">
      <c r="A206" s="75"/>
      <c r="B206" s="66">
        <f t="shared" si="5"/>
        <v>179</v>
      </c>
      <c r="C206" s="68">
        <f t="shared" si="8"/>
        <v>66170.31556</v>
      </c>
      <c r="D206" s="68">
        <f t="shared" si="1"/>
        <v>44166.62715</v>
      </c>
      <c r="E206" s="68">
        <f t="shared" si="2"/>
        <v>22003.68842</v>
      </c>
      <c r="F206" s="73">
        <f t="shared" si="7"/>
        <v>3319454.532</v>
      </c>
      <c r="G206" s="74">
        <f t="shared" si="3"/>
        <v>0.667468891</v>
      </c>
      <c r="H206" s="74">
        <f t="shared" si="4"/>
        <v>0.332531109</v>
      </c>
    </row>
    <row r="207">
      <c r="A207" s="75"/>
      <c r="B207" s="66">
        <f t="shared" si="5"/>
        <v>180</v>
      </c>
      <c r="C207" s="68">
        <f t="shared" si="8"/>
        <v>66170.31556</v>
      </c>
      <c r="D207" s="68">
        <f t="shared" si="1"/>
        <v>44455.5505</v>
      </c>
      <c r="E207" s="68">
        <f t="shared" si="2"/>
        <v>21714.76506</v>
      </c>
      <c r="F207" s="73">
        <f t="shared" si="7"/>
        <v>3274998.982</v>
      </c>
      <c r="G207" s="74">
        <f t="shared" si="3"/>
        <v>0.67183525</v>
      </c>
      <c r="H207" s="74">
        <f t="shared" si="4"/>
        <v>0.32816475</v>
      </c>
    </row>
    <row r="208">
      <c r="A208" s="65">
        <v>16.0</v>
      </c>
      <c r="B208" s="66">
        <f t="shared" si="5"/>
        <v>181</v>
      </c>
      <c r="C208" s="68">
        <f t="shared" si="8"/>
        <v>66170.31556</v>
      </c>
      <c r="D208" s="68">
        <f t="shared" si="1"/>
        <v>44746.36389</v>
      </c>
      <c r="E208" s="68">
        <f t="shared" si="2"/>
        <v>21423.95167</v>
      </c>
      <c r="F208" s="73">
        <f t="shared" si="7"/>
        <v>3230252.618</v>
      </c>
      <c r="G208" s="74">
        <f t="shared" si="3"/>
        <v>0.6762301723</v>
      </c>
      <c r="H208" s="74">
        <f t="shared" si="4"/>
        <v>0.3237698277</v>
      </c>
    </row>
    <row r="209">
      <c r="A209" s="75"/>
      <c r="B209" s="66">
        <f t="shared" si="5"/>
        <v>182</v>
      </c>
      <c r="C209" s="68">
        <f t="shared" si="8"/>
        <v>66170.31556</v>
      </c>
      <c r="D209" s="68">
        <f t="shared" si="1"/>
        <v>45039.07969</v>
      </c>
      <c r="E209" s="68">
        <f t="shared" si="2"/>
        <v>21131.23587</v>
      </c>
      <c r="F209" s="73">
        <f t="shared" si="7"/>
        <v>3185213.538</v>
      </c>
      <c r="G209" s="74">
        <f t="shared" si="3"/>
        <v>0.6806538446</v>
      </c>
      <c r="H209" s="74">
        <f t="shared" si="4"/>
        <v>0.3193461554</v>
      </c>
    </row>
    <row r="210">
      <c r="A210" s="75"/>
      <c r="B210" s="66">
        <f t="shared" si="5"/>
        <v>183</v>
      </c>
      <c r="C210" s="68">
        <f t="shared" si="8"/>
        <v>66170.31556</v>
      </c>
      <c r="D210" s="68">
        <f t="shared" si="1"/>
        <v>45333.71033</v>
      </c>
      <c r="E210" s="68">
        <f t="shared" si="2"/>
        <v>20836.60523</v>
      </c>
      <c r="F210" s="73">
        <f t="shared" si="7"/>
        <v>3139879.828</v>
      </c>
      <c r="G210" s="74">
        <f t="shared" si="3"/>
        <v>0.6851064552</v>
      </c>
      <c r="H210" s="74">
        <f t="shared" si="4"/>
        <v>0.3148935448</v>
      </c>
    </row>
    <row r="211">
      <c r="A211" s="75"/>
      <c r="B211" s="66">
        <f t="shared" si="5"/>
        <v>184</v>
      </c>
      <c r="C211" s="68">
        <f t="shared" si="8"/>
        <v>66170.31556</v>
      </c>
      <c r="D211" s="68">
        <f t="shared" si="1"/>
        <v>45630.26836</v>
      </c>
      <c r="E211" s="68">
        <f t="shared" si="2"/>
        <v>20540.04721</v>
      </c>
      <c r="F211" s="73">
        <f t="shared" si="7"/>
        <v>3094249.559</v>
      </c>
      <c r="G211" s="74">
        <f t="shared" si="3"/>
        <v>0.6895881933</v>
      </c>
      <c r="H211" s="74">
        <f t="shared" si="4"/>
        <v>0.3104118067</v>
      </c>
    </row>
    <row r="212">
      <c r="A212" s="75"/>
      <c r="B212" s="66">
        <f t="shared" si="5"/>
        <v>185</v>
      </c>
      <c r="C212" s="68">
        <f t="shared" si="8"/>
        <v>66170.31556</v>
      </c>
      <c r="D212" s="68">
        <f t="shared" si="1"/>
        <v>45928.76636</v>
      </c>
      <c r="E212" s="68">
        <f t="shared" si="2"/>
        <v>20241.5492</v>
      </c>
      <c r="F212" s="73">
        <f t="shared" si="7"/>
        <v>3048320.793</v>
      </c>
      <c r="G212" s="74">
        <f t="shared" si="3"/>
        <v>0.6940992494</v>
      </c>
      <c r="H212" s="74">
        <f t="shared" si="4"/>
        <v>0.3059007506</v>
      </c>
    </row>
    <row r="213">
      <c r="A213" s="75"/>
      <c r="B213" s="66">
        <f t="shared" si="5"/>
        <v>186</v>
      </c>
      <c r="C213" s="68">
        <f t="shared" si="8"/>
        <v>66170.31556</v>
      </c>
      <c r="D213" s="68">
        <f t="shared" si="1"/>
        <v>46229.21704</v>
      </c>
      <c r="E213" s="68">
        <f t="shared" si="2"/>
        <v>19941.09852</v>
      </c>
      <c r="F213" s="73">
        <f t="shared" si="7"/>
        <v>3002091.576</v>
      </c>
      <c r="G213" s="74">
        <f t="shared" si="3"/>
        <v>0.6986398153</v>
      </c>
      <c r="H213" s="74">
        <f t="shared" si="4"/>
        <v>0.3013601847</v>
      </c>
    </row>
    <row r="214">
      <c r="A214" s="75"/>
      <c r="B214" s="66">
        <f t="shared" si="5"/>
        <v>187</v>
      </c>
      <c r="C214" s="68">
        <f t="shared" si="8"/>
        <v>66170.31556</v>
      </c>
      <c r="D214" s="68">
        <f t="shared" si="1"/>
        <v>46531.63317</v>
      </c>
      <c r="E214" s="68">
        <f t="shared" si="2"/>
        <v>19638.68239</v>
      </c>
      <c r="F214" s="73">
        <f t="shared" si="7"/>
        <v>2955559.943</v>
      </c>
      <c r="G214" s="74">
        <f t="shared" si="3"/>
        <v>0.7032100841</v>
      </c>
      <c r="H214" s="74">
        <f t="shared" si="4"/>
        <v>0.2967899159</v>
      </c>
    </row>
    <row r="215">
      <c r="A215" s="75"/>
      <c r="B215" s="66">
        <f t="shared" si="5"/>
        <v>188</v>
      </c>
      <c r="C215" s="68">
        <f t="shared" si="8"/>
        <v>66170.31556</v>
      </c>
      <c r="D215" s="68">
        <f t="shared" si="1"/>
        <v>46836.0276</v>
      </c>
      <c r="E215" s="68">
        <f t="shared" si="2"/>
        <v>19334.28796</v>
      </c>
      <c r="F215" s="73">
        <f t="shared" si="7"/>
        <v>2908723.915</v>
      </c>
      <c r="G215" s="74">
        <f t="shared" si="3"/>
        <v>0.70781025</v>
      </c>
      <c r="H215" s="74">
        <f t="shared" si="4"/>
        <v>0.29218975</v>
      </c>
    </row>
    <row r="216">
      <c r="A216" s="75"/>
      <c r="B216" s="66">
        <f t="shared" si="5"/>
        <v>189</v>
      </c>
      <c r="C216" s="68">
        <f t="shared" si="8"/>
        <v>66170.31556</v>
      </c>
      <c r="D216" s="68">
        <f t="shared" si="1"/>
        <v>47142.41328</v>
      </c>
      <c r="E216" s="68">
        <f t="shared" si="2"/>
        <v>19027.90228</v>
      </c>
      <c r="F216" s="73">
        <f t="shared" si="7"/>
        <v>2861581.502</v>
      </c>
      <c r="G216" s="74">
        <f t="shared" si="3"/>
        <v>0.7124405088</v>
      </c>
      <c r="H216" s="74">
        <f t="shared" si="4"/>
        <v>0.2875594912</v>
      </c>
    </row>
    <row r="217">
      <c r="A217" s="75"/>
      <c r="B217" s="66">
        <f t="shared" si="5"/>
        <v>190</v>
      </c>
      <c r="C217" s="68">
        <f t="shared" si="8"/>
        <v>66170.31556</v>
      </c>
      <c r="D217" s="68">
        <f t="shared" si="1"/>
        <v>47450.80324</v>
      </c>
      <c r="E217" s="68">
        <f t="shared" si="2"/>
        <v>18719.51233</v>
      </c>
      <c r="F217" s="73">
        <f t="shared" si="7"/>
        <v>2814130.699</v>
      </c>
      <c r="G217" s="74">
        <f t="shared" si="3"/>
        <v>0.7171010571</v>
      </c>
      <c r="H217" s="74">
        <f t="shared" si="4"/>
        <v>0.2828989429</v>
      </c>
    </row>
    <row r="218">
      <c r="A218" s="75"/>
      <c r="B218" s="66">
        <f t="shared" si="5"/>
        <v>191</v>
      </c>
      <c r="C218" s="68">
        <f t="shared" si="8"/>
        <v>66170.31556</v>
      </c>
      <c r="D218" s="68">
        <f t="shared" si="1"/>
        <v>47761.21058</v>
      </c>
      <c r="E218" s="68">
        <f t="shared" si="2"/>
        <v>18409.10499</v>
      </c>
      <c r="F218" s="73">
        <f t="shared" si="7"/>
        <v>2766369.488</v>
      </c>
      <c r="G218" s="74">
        <f t="shared" si="3"/>
        <v>0.7217920932</v>
      </c>
      <c r="H218" s="74">
        <f t="shared" si="4"/>
        <v>0.2782079068</v>
      </c>
    </row>
    <row r="219">
      <c r="A219" s="75"/>
      <c r="B219" s="66">
        <f t="shared" si="5"/>
        <v>192</v>
      </c>
      <c r="C219" s="68">
        <f t="shared" si="8"/>
        <v>66170.31556</v>
      </c>
      <c r="D219" s="68">
        <f t="shared" si="1"/>
        <v>48073.64849</v>
      </c>
      <c r="E219" s="68">
        <f t="shared" si="2"/>
        <v>18096.66707</v>
      </c>
      <c r="F219" s="73">
        <f t="shared" si="7"/>
        <v>2718295.84</v>
      </c>
      <c r="G219" s="74">
        <f t="shared" si="3"/>
        <v>0.7265138164</v>
      </c>
      <c r="H219" s="74">
        <f t="shared" si="4"/>
        <v>0.2734861836</v>
      </c>
    </row>
    <row r="220">
      <c r="A220" s="65">
        <v>17.0</v>
      </c>
      <c r="B220" s="66">
        <f t="shared" si="5"/>
        <v>193</v>
      </c>
      <c r="C220" s="68">
        <f t="shared" si="8"/>
        <v>66170.31556</v>
      </c>
      <c r="D220" s="68">
        <f t="shared" si="1"/>
        <v>48388.13028</v>
      </c>
      <c r="E220" s="68">
        <f t="shared" si="2"/>
        <v>17782.18528</v>
      </c>
      <c r="F220" s="73">
        <f t="shared" si="7"/>
        <v>2669907.709</v>
      </c>
      <c r="G220" s="74">
        <f t="shared" si="3"/>
        <v>0.7312664277</v>
      </c>
      <c r="H220" s="74">
        <f t="shared" si="4"/>
        <v>0.2687335723</v>
      </c>
    </row>
    <row r="221">
      <c r="A221" s="75"/>
      <c r="B221" s="66">
        <f t="shared" si="5"/>
        <v>194</v>
      </c>
      <c r="C221" s="68">
        <f t="shared" si="8"/>
        <v>66170.31556</v>
      </c>
      <c r="D221" s="68">
        <f t="shared" si="1"/>
        <v>48704.6693</v>
      </c>
      <c r="E221" s="68">
        <f t="shared" si="2"/>
        <v>17465.64627</v>
      </c>
      <c r="F221" s="73">
        <f t="shared" si="7"/>
        <v>2621203.04</v>
      </c>
      <c r="G221" s="74">
        <f t="shared" si="3"/>
        <v>0.7360501289</v>
      </c>
      <c r="H221" s="74">
        <f t="shared" si="4"/>
        <v>0.2639498711</v>
      </c>
    </row>
    <row r="222">
      <c r="A222" s="75"/>
      <c r="B222" s="66">
        <f t="shared" si="5"/>
        <v>195</v>
      </c>
      <c r="C222" s="68">
        <f t="shared" si="8"/>
        <v>66170.31556</v>
      </c>
      <c r="D222" s="68">
        <f t="shared" si="1"/>
        <v>49023.27901</v>
      </c>
      <c r="E222" s="68">
        <f t="shared" si="2"/>
        <v>17147.03655</v>
      </c>
      <c r="F222" s="73">
        <f t="shared" si="7"/>
        <v>2572179.761</v>
      </c>
      <c r="G222" s="74">
        <f t="shared" si="3"/>
        <v>0.7408651235</v>
      </c>
      <c r="H222" s="74">
        <f t="shared" si="4"/>
        <v>0.2591348765</v>
      </c>
    </row>
    <row r="223">
      <c r="A223" s="75"/>
      <c r="B223" s="66">
        <f t="shared" si="5"/>
        <v>196</v>
      </c>
      <c r="C223" s="68">
        <f t="shared" si="8"/>
        <v>66170.31556</v>
      </c>
      <c r="D223" s="68">
        <f t="shared" si="1"/>
        <v>49343.97296</v>
      </c>
      <c r="E223" s="68">
        <f t="shared" si="2"/>
        <v>16826.3426</v>
      </c>
      <c r="F223" s="73">
        <f t="shared" si="7"/>
        <v>2522835.788</v>
      </c>
      <c r="G223" s="74">
        <f t="shared" si="3"/>
        <v>0.7457116161</v>
      </c>
      <c r="H223" s="74">
        <f t="shared" si="4"/>
        <v>0.2542883839</v>
      </c>
    </row>
    <row r="224">
      <c r="A224" s="75"/>
      <c r="B224" s="66">
        <f t="shared" si="5"/>
        <v>197</v>
      </c>
      <c r="C224" s="68">
        <f t="shared" si="8"/>
        <v>66170.31556</v>
      </c>
      <c r="D224" s="68">
        <f t="shared" si="1"/>
        <v>49666.76478</v>
      </c>
      <c r="E224" s="68">
        <f t="shared" si="2"/>
        <v>16503.55078</v>
      </c>
      <c r="F224" s="73">
        <f t="shared" si="7"/>
        <v>2473169.023</v>
      </c>
      <c r="G224" s="74">
        <f t="shared" si="3"/>
        <v>0.750589813</v>
      </c>
      <c r="H224" s="74">
        <f t="shared" si="4"/>
        <v>0.249410187</v>
      </c>
    </row>
    <row r="225">
      <c r="A225" s="75"/>
      <c r="B225" s="66">
        <f t="shared" si="5"/>
        <v>198</v>
      </c>
      <c r="C225" s="68">
        <f t="shared" si="8"/>
        <v>66170.31556</v>
      </c>
      <c r="D225" s="68">
        <f t="shared" si="1"/>
        <v>49991.6682</v>
      </c>
      <c r="E225" s="68">
        <f t="shared" si="2"/>
        <v>16178.64736</v>
      </c>
      <c r="F225" s="73">
        <f t="shared" si="7"/>
        <v>2423177.355</v>
      </c>
      <c r="G225" s="74">
        <f t="shared" si="3"/>
        <v>0.7554999213</v>
      </c>
      <c r="H225" s="74">
        <f t="shared" si="4"/>
        <v>0.2445000787</v>
      </c>
    </row>
    <row r="226">
      <c r="A226" s="75"/>
      <c r="B226" s="66">
        <f t="shared" si="5"/>
        <v>199</v>
      </c>
      <c r="C226" s="68">
        <f t="shared" si="8"/>
        <v>66170.31556</v>
      </c>
      <c r="D226" s="68">
        <f t="shared" si="1"/>
        <v>50318.69703</v>
      </c>
      <c r="E226" s="68">
        <f t="shared" si="2"/>
        <v>15851.61853</v>
      </c>
      <c r="F226" s="73">
        <f t="shared" si="7"/>
        <v>2372858.658</v>
      </c>
      <c r="G226" s="74">
        <f t="shared" si="3"/>
        <v>0.76044215</v>
      </c>
      <c r="H226" s="74">
        <f t="shared" si="4"/>
        <v>0.23955785</v>
      </c>
    </row>
    <row r="227">
      <c r="A227" s="75"/>
      <c r="B227" s="66">
        <f t="shared" si="5"/>
        <v>200</v>
      </c>
      <c r="C227" s="68">
        <f t="shared" si="8"/>
        <v>66170.31556</v>
      </c>
      <c r="D227" s="68">
        <f t="shared" si="1"/>
        <v>50647.86517</v>
      </c>
      <c r="E227" s="68">
        <f t="shared" si="2"/>
        <v>15522.45039</v>
      </c>
      <c r="F227" s="73">
        <f t="shared" si="7"/>
        <v>2322210.793</v>
      </c>
      <c r="G227" s="74">
        <f t="shared" si="3"/>
        <v>0.765416709</v>
      </c>
      <c r="H227" s="74">
        <f t="shared" si="4"/>
        <v>0.234583291</v>
      </c>
    </row>
    <row r="228">
      <c r="A228" s="75"/>
      <c r="B228" s="66">
        <f t="shared" si="5"/>
        <v>201</v>
      </c>
      <c r="C228" s="68">
        <f t="shared" si="8"/>
        <v>66170.31556</v>
      </c>
      <c r="D228" s="68">
        <f t="shared" si="1"/>
        <v>50979.18663</v>
      </c>
      <c r="E228" s="68">
        <f t="shared" si="2"/>
        <v>15191.12894</v>
      </c>
      <c r="F228" s="73">
        <f t="shared" si="7"/>
        <v>2271231.606</v>
      </c>
      <c r="G228" s="74">
        <f t="shared" si="3"/>
        <v>0.77042381</v>
      </c>
      <c r="H228" s="74">
        <f t="shared" si="4"/>
        <v>0.22957619</v>
      </c>
    </row>
    <row r="229">
      <c r="A229" s="75"/>
      <c r="B229" s="66">
        <f t="shared" si="5"/>
        <v>202</v>
      </c>
      <c r="C229" s="68">
        <f t="shared" si="8"/>
        <v>66170.31556</v>
      </c>
      <c r="D229" s="68">
        <f t="shared" si="1"/>
        <v>51312.67547</v>
      </c>
      <c r="E229" s="68">
        <f t="shared" si="2"/>
        <v>14857.64009</v>
      </c>
      <c r="F229" s="73">
        <f t="shared" si="7"/>
        <v>2219918.931</v>
      </c>
      <c r="G229" s="74">
        <f t="shared" si="3"/>
        <v>0.7754636658</v>
      </c>
      <c r="H229" s="74">
        <f t="shared" si="4"/>
        <v>0.2245363342</v>
      </c>
    </row>
    <row r="230">
      <c r="A230" s="75"/>
      <c r="B230" s="66">
        <f t="shared" si="5"/>
        <v>203</v>
      </c>
      <c r="C230" s="68">
        <f t="shared" si="8"/>
        <v>66170.31556</v>
      </c>
      <c r="D230" s="68">
        <f t="shared" si="1"/>
        <v>51648.34589</v>
      </c>
      <c r="E230" s="68">
        <f t="shared" si="2"/>
        <v>14521.96967</v>
      </c>
      <c r="F230" s="73">
        <f t="shared" si="7"/>
        <v>2168270.585</v>
      </c>
      <c r="G230" s="74">
        <f t="shared" si="3"/>
        <v>0.7805364906</v>
      </c>
      <c r="H230" s="74">
        <f t="shared" si="4"/>
        <v>0.2194635094</v>
      </c>
    </row>
    <row r="231">
      <c r="A231" s="75"/>
      <c r="B231" s="66">
        <f t="shared" si="5"/>
        <v>204</v>
      </c>
      <c r="C231" s="68">
        <f t="shared" si="8"/>
        <v>66170.31556</v>
      </c>
      <c r="D231" s="68">
        <f t="shared" si="1"/>
        <v>51986.21215</v>
      </c>
      <c r="E231" s="68">
        <f t="shared" si="2"/>
        <v>14184.10341</v>
      </c>
      <c r="F231" s="73">
        <f t="shared" si="7"/>
        <v>2116284.373</v>
      </c>
      <c r="G231" s="74">
        <f t="shared" si="3"/>
        <v>0.7856425001</v>
      </c>
      <c r="H231" s="74">
        <f t="shared" si="4"/>
        <v>0.2143574999</v>
      </c>
    </row>
    <row r="232">
      <c r="A232" s="65">
        <v>18.0</v>
      </c>
      <c r="B232" s="66">
        <f t="shared" si="5"/>
        <v>205</v>
      </c>
      <c r="C232" s="68">
        <f t="shared" si="8"/>
        <v>66170.31556</v>
      </c>
      <c r="D232" s="68">
        <f t="shared" si="1"/>
        <v>52326.28862</v>
      </c>
      <c r="E232" s="68">
        <f t="shared" si="2"/>
        <v>13844.02694</v>
      </c>
      <c r="F232" s="73">
        <f t="shared" si="7"/>
        <v>2063958.084</v>
      </c>
      <c r="G232" s="74">
        <f t="shared" si="3"/>
        <v>0.7907819115</v>
      </c>
      <c r="H232" s="74">
        <f t="shared" si="4"/>
        <v>0.2092180885</v>
      </c>
    </row>
    <row r="233">
      <c r="A233" s="75"/>
      <c r="B233" s="66">
        <f t="shared" si="5"/>
        <v>206</v>
      </c>
      <c r="C233" s="68">
        <f t="shared" si="8"/>
        <v>66170.31556</v>
      </c>
      <c r="D233" s="68">
        <f t="shared" si="1"/>
        <v>52668.58976</v>
      </c>
      <c r="E233" s="68">
        <f t="shared" si="2"/>
        <v>13501.7258</v>
      </c>
      <c r="F233" s="73">
        <f t="shared" si="7"/>
        <v>2011289.494</v>
      </c>
      <c r="G233" s="74">
        <f t="shared" si="3"/>
        <v>0.7959549432</v>
      </c>
      <c r="H233" s="74">
        <f t="shared" si="4"/>
        <v>0.2040450568</v>
      </c>
    </row>
    <row r="234">
      <c r="A234" s="75"/>
      <c r="B234" s="66">
        <f t="shared" si="5"/>
        <v>207</v>
      </c>
      <c r="C234" s="68">
        <f t="shared" si="8"/>
        <v>66170.31556</v>
      </c>
      <c r="D234" s="68">
        <f t="shared" si="1"/>
        <v>53013.13012</v>
      </c>
      <c r="E234" s="68">
        <f t="shared" si="2"/>
        <v>13157.18544</v>
      </c>
      <c r="F234" s="73">
        <f t="shared" si="7"/>
        <v>1958276.364</v>
      </c>
      <c r="G234" s="74">
        <f t="shared" si="3"/>
        <v>0.8011618151</v>
      </c>
      <c r="H234" s="74">
        <f t="shared" si="4"/>
        <v>0.1988381849</v>
      </c>
    </row>
    <row r="235">
      <c r="A235" s="75"/>
      <c r="B235" s="66">
        <f t="shared" si="5"/>
        <v>208</v>
      </c>
      <c r="C235" s="68">
        <f t="shared" si="8"/>
        <v>66170.31556</v>
      </c>
      <c r="D235" s="68">
        <f t="shared" si="1"/>
        <v>53359.92435</v>
      </c>
      <c r="E235" s="68">
        <f t="shared" si="2"/>
        <v>12810.39122</v>
      </c>
      <c r="F235" s="73">
        <f t="shared" si="7"/>
        <v>1904916.44</v>
      </c>
      <c r="G235" s="74">
        <f t="shared" si="3"/>
        <v>0.8064027486</v>
      </c>
      <c r="H235" s="74">
        <f t="shared" si="4"/>
        <v>0.1935972514</v>
      </c>
    </row>
    <row r="236">
      <c r="A236" s="75"/>
      <c r="B236" s="66">
        <f t="shared" si="5"/>
        <v>209</v>
      </c>
      <c r="C236" s="68">
        <f t="shared" si="8"/>
        <v>66170.31556</v>
      </c>
      <c r="D236" s="68">
        <f t="shared" si="1"/>
        <v>53708.98719</v>
      </c>
      <c r="E236" s="68">
        <f t="shared" si="2"/>
        <v>12461.32838</v>
      </c>
      <c r="F236" s="73">
        <f t="shared" si="7"/>
        <v>1851207.453</v>
      </c>
      <c r="G236" s="74">
        <f t="shared" si="3"/>
        <v>0.8116779666</v>
      </c>
      <c r="H236" s="74">
        <f t="shared" si="4"/>
        <v>0.1883220334</v>
      </c>
    </row>
    <row r="237">
      <c r="A237" s="75"/>
      <c r="B237" s="66">
        <f t="shared" si="5"/>
        <v>210</v>
      </c>
      <c r="C237" s="68">
        <f t="shared" si="8"/>
        <v>66170.31556</v>
      </c>
      <c r="D237" s="68">
        <f t="shared" si="1"/>
        <v>54060.33348</v>
      </c>
      <c r="E237" s="68">
        <f t="shared" si="2"/>
        <v>12109.98209</v>
      </c>
      <c r="F237" s="73">
        <f t="shared" si="7"/>
        <v>1797147.119</v>
      </c>
      <c r="G237" s="74">
        <f t="shared" si="3"/>
        <v>0.8169876933</v>
      </c>
      <c r="H237" s="74">
        <f t="shared" si="4"/>
        <v>0.1830123067</v>
      </c>
    </row>
    <row r="238">
      <c r="A238" s="75"/>
      <c r="B238" s="66">
        <f t="shared" si="5"/>
        <v>211</v>
      </c>
      <c r="C238" s="68">
        <f t="shared" si="8"/>
        <v>66170.31556</v>
      </c>
      <c r="D238" s="68">
        <f t="shared" si="1"/>
        <v>54413.97816</v>
      </c>
      <c r="E238" s="68">
        <f t="shared" si="2"/>
        <v>11756.3374</v>
      </c>
      <c r="F238" s="73">
        <f t="shared" si="7"/>
        <v>1742733.141</v>
      </c>
      <c r="G238" s="74">
        <f t="shared" si="3"/>
        <v>0.8223321545</v>
      </c>
      <c r="H238" s="74">
        <f t="shared" si="4"/>
        <v>0.1776678455</v>
      </c>
    </row>
    <row r="239">
      <c r="A239" s="75"/>
      <c r="B239" s="66">
        <f t="shared" si="5"/>
        <v>212</v>
      </c>
      <c r="C239" s="68">
        <f t="shared" si="8"/>
        <v>66170.31556</v>
      </c>
      <c r="D239" s="68">
        <f t="shared" si="1"/>
        <v>54769.93626</v>
      </c>
      <c r="E239" s="68">
        <f t="shared" si="2"/>
        <v>11400.3793</v>
      </c>
      <c r="F239" s="73">
        <f t="shared" si="7"/>
        <v>1687963.205</v>
      </c>
      <c r="G239" s="74">
        <f t="shared" si="3"/>
        <v>0.8277115773</v>
      </c>
      <c r="H239" s="74">
        <f t="shared" si="4"/>
        <v>0.1722884227</v>
      </c>
    </row>
    <row r="240">
      <c r="A240" s="75"/>
      <c r="B240" s="66">
        <f t="shared" si="5"/>
        <v>213</v>
      </c>
      <c r="C240" s="68">
        <f t="shared" si="8"/>
        <v>66170.31556</v>
      </c>
      <c r="D240" s="68">
        <f t="shared" si="1"/>
        <v>55128.22293</v>
      </c>
      <c r="E240" s="68">
        <f t="shared" si="2"/>
        <v>11042.09263</v>
      </c>
      <c r="F240" s="73">
        <f t="shared" si="7"/>
        <v>1632834.982</v>
      </c>
      <c r="G240" s="74">
        <f t="shared" si="3"/>
        <v>0.8331261905</v>
      </c>
      <c r="H240" s="74">
        <f t="shared" si="4"/>
        <v>0.1668738095</v>
      </c>
    </row>
    <row r="241">
      <c r="A241" s="75"/>
      <c r="B241" s="66">
        <f t="shared" si="5"/>
        <v>214</v>
      </c>
      <c r="C241" s="68">
        <f t="shared" si="8"/>
        <v>66170.31556</v>
      </c>
      <c r="D241" s="68">
        <f t="shared" si="1"/>
        <v>55488.85339</v>
      </c>
      <c r="E241" s="68">
        <f t="shared" si="2"/>
        <v>10681.46217</v>
      </c>
      <c r="F241" s="73">
        <f t="shared" si="7"/>
        <v>1577346.128</v>
      </c>
      <c r="G241" s="74">
        <f t="shared" si="3"/>
        <v>0.8385762244</v>
      </c>
      <c r="H241" s="74">
        <f t="shared" si="4"/>
        <v>0.1614237756</v>
      </c>
    </row>
    <row r="242">
      <c r="A242" s="75"/>
      <c r="B242" s="66">
        <f t="shared" si="5"/>
        <v>215</v>
      </c>
      <c r="C242" s="68">
        <f t="shared" si="8"/>
        <v>66170.31556</v>
      </c>
      <c r="D242" s="68">
        <f t="shared" si="1"/>
        <v>55851.84297</v>
      </c>
      <c r="E242" s="68">
        <f t="shared" si="2"/>
        <v>10318.47259</v>
      </c>
      <c r="F242" s="73">
        <f t="shared" si="7"/>
        <v>1521494.286</v>
      </c>
      <c r="G242" s="74">
        <f t="shared" si="3"/>
        <v>0.8440619105</v>
      </c>
      <c r="H242" s="74">
        <f t="shared" si="4"/>
        <v>0.1559380895</v>
      </c>
    </row>
    <row r="243">
      <c r="A243" s="75"/>
      <c r="B243" s="66">
        <f t="shared" si="5"/>
        <v>216</v>
      </c>
      <c r="C243" s="68">
        <f t="shared" si="8"/>
        <v>66170.31556</v>
      </c>
      <c r="D243" s="68">
        <f t="shared" si="1"/>
        <v>56217.20711</v>
      </c>
      <c r="E243" s="68">
        <f t="shared" si="2"/>
        <v>9953.108451</v>
      </c>
      <c r="F243" s="73">
        <f t="shared" si="7"/>
        <v>1465277.078</v>
      </c>
      <c r="G243" s="74">
        <f t="shared" si="3"/>
        <v>0.8495834822</v>
      </c>
      <c r="H243" s="74">
        <f t="shared" si="4"/>
        <v>0.1504165178</v>
      </c>
    </row>
    <row r="244">
      <c r="A244" s="65">
        <v>19.0</v>
      </c>
      <c r="B244" s="66">
        <f t="shared" si="5"/>
        <v>217</v>
      </c>
      <c r="C244" s="68">
        <f t="shared" si="8"/>
        <v>66170.31556</v>
      </c>
      <c r="D244" s="68">
        <f t="shared" si="1"/>
        <v>56584.96134</v>
      </c>
      <c r="E244" s="68">
        <f t="shared" si="2"/>
        <v>9585.354221</v>
      </c>
      <c r="F244" s="73">
        <f t="shared" si="7"/>
        <v>1408692.117</v>
      </c>
      <c r="G244" s="74">
        <f t="shared" si="3"/>
        <v>0.8551411741</v>
      </c>
      <c r="H244" s="74">
        <f t="shared" si="4"/>
        <v>0.1448588259</v>
      </c>
    </row>
    <row r="245">
      <c r="A245" s="75"/>
      <c r="B245" s="66">
        <f t="shared" si="5"/>
        <v>218</v>
      </c>
      <c r="C245" s="68">
        <f t="shared" si="8"/>
        <v>66170.31556</v>
      </c>
      <c r="D245" s="68">
        <f t="shared" si="1"/>
        <v>56955.1213</v>
      </c>
      <c r="E245" s="68">
        <f t="shared" si="2"/>
        <v>9215.194266</v>
      </c>
      <c r="F245" s="73">
        <f t="shared" si="7"/>
        <v>1351736.996</v>
      </c>
      <c r="G245" s="74">
        <f t="shared" si="3"/>
        <v>0.8607352226</v>
      </c>
      <c r="H245" s="74">
        <f t="shared" si="4"/>
        <v>0.1392647774</v>
      </c>
    </row>
    <row r="246">
      <c r="A246" s="75"/>
      <c r="B246" s="66">
        <f t="shared" si="5"/>
        <v>219</v>
      </c>
      <c r="C246" s="68">
        <f t="shared" si="8"/>
        <v>66170.31556</v>
      </c>
      <c r="D246" s="68">
        <f t="shared" si="1"/>
        <v>57327.70272</v>
      </c>
      <c r="E246" s="68">
        <f t="shared" si="2"/>
        <v>8842.612847</v>
      </c>
      <c r="F246" s="73">
        <f t="shared" si="7"/>
        <v>1294409.293</v>
      </c>
      <c r="G246" s="74">
        <f t="shared" si="3"/>
        <v>0.8663658655</v>
      </c>
      <c r="H246" s="74">
        <f t="shared" si="4"/>
        <v>0.1336341345</v>
      </c>
    </row>
    <row r="247">
      <c r="A247" s="75"/>
      <c r="B247" s="66">
        <f t="shared" si="5"/>
        <v>220</v>
      </c>
      <c r="C247" s="68">
        <f t="shared" si="8"/>
        <v>66170.31556</v>
      </c>
      <c r="D247" s="68">
        <f t="shared" si="1"/>
        <v>57702.72144</v>
      </c>
      <c r="E247" s="68">
        <f t="shared" si="2"/>
        <v>8467.594125</v>
      </c>
      <c r="F247" s="73">
        <f t="shared" si="7"/>
        <v>1236706.572</v>
      </c>
      <c r="G247" s="74">
        <f t="shared" si="3"/>
        <v>0.8720333422</v>
      </c>
      <c r="H247" s="74">
        <f t="shared" si="4"/>
        <v>0.1279666578</v>
      </c>
    </row>
    <row r="248">
      <c r="A248" s="75"/>
      <c r="B248" s="66">
        <f t="shared" si="5"/>
        <v>221</v>
      </c>
      <c r="C248" s="68">
        <f t="shared" si="8"/>
        <v>66170.31556</v>
      </c>
      <c r="D248" s="68">
        <f t="shared" si="1"/>
        <v>58080.19341</v>
      </c>
      <c r="E248" s="68">
        <f t="shared" si="2"/>
        <v>8090.122156</v>
      </c>
      <c r="F248" s="73">
        <f t="shared" si="7"/>
        <v>1178626.378</v>
      </c>
      <c r="G248" s="74">
        <f t="shared" si="3"/>
        <v>0.8777378937</v>
      </c>
      <c r="H248" s="74">
        <f t="shared" si="4"/>
        <v>0.1222621063</v>
      </c>
    </row>
    <row r="249">
      <c r="A249" s="75"/>
      <c r="B249" s="66">
        <f t="shared" si="5"/>
        <v>222</v>
      </c>
      <c r="C249" s="68">
        <f t="shared" si="8"/>
        <v>66170.31556</v>
      </c>
      <c r="D249" s="68">
        <f t="shared" si="1"/>
        <v>58460.13467</v>
      </c>
      <c r="E249" s="68">
        <f t="shared" si="2"/>
        <v>7710.180891</v>
      </c>
      <c r="F249" s="73">
        <f t="shared" si="7"/>
        <v>1120166.244</v>
      </c>
      <c r="G249" s="74">
        <f t="shared" si="3"/>
        <v>0.8834797624</v>
      </c>
      <c r="H249" s="74">
        <f t="shared" si="4"/>
        <v>0.1165202376</v>
      </c>
    </row>
    <row r="250">
      <c r="A250" s="75"/>
      <c r="B250" s="66">
        <f t="shared" si="5"/>
        <v>223</v>
      </c>
      <c r="C250" s="68">
        <f t="shared" si="8"/>
        <v>66170.31556</v>
      </c>
      <c r="D250" s="68">
        <f t="shared" si="1"/>
        <v>58842.56139</v>
      </c>
      <c r="E250" s="68">
        <f t="shared" si="2"/>
        <v>7327.754176</v>
      </c>
      <c r="F250" s="73">
        <f t="shared" si="7"/>
        <v>1061323.682</v>
      </c>
      <c r="G250" s="74">
        <f t="shared" si="3"/>
        <v>0.8892591925</v>
      </c>
      <c r="H250" s="74">
        <f t="shared" si="4"/>
        <v>0.1107408075</v>
      </c>
    </row>
    <row r="251">
      <c r="A251" s="75"/>
      <c r="B251" s="66">
        <f t="shared" si="5"/>
        <v>224</v>
      </c>
      <c r="C251" s="68">
        <f t="shared" si="8"/>
        <v>66170.31556</v>
      </c>
      <c r="D251" s="68">
        <f t="shared" si="1"/>
        <v>59227.48981</v>
      </c>
      <c r="E251" s="68">
        <f t="shared" si="2"/>
        <v>6942.825754</v>
      </c>
      <c r="F251" s="73">
        <f t="shared" si="7"/>
        <v>1002096.192</v>
      </c>
      <c r="G251" s="74">
        <f t="shared" si="3"/>
        <v>0.8950764297</v>
      </c>
      <c r="H251" s="74">
        <f t="shared" si="4"/>
        <v>0.1049235703</v>
      </c>
    </row>
    <row r="252">
      <c r="A252" s="75"/>
      <c r="B252" s="66">
        <f t="shared" si="5"/>
        <v>225</v>
      </c>
      <c r="C252" s="68">
        <f t="shared" si="8"/>
        <v>66170.31556</v>
      </c>
      <c r="D252" s="68">
        <f t="shared" si="1"/>
        <v>59614.9363</v>
      </c>
      <c r="E252" s="68">
        <f t="shared" si="2"/>
        <v>6555.379258</v>
      </c>
      <c r="F252" s="73">
        <f t="shared" si="7"/>
        <v>942481.256</v>
      </c>
      <c r="G252" s="74">
        <f t="shared" si="3"/>
        <v>0.9009317214</v>
      </c>
      <c r="H252" s="74">
        <f t="shared" si="4"/>
        <v>0.09906827861</v>
      </c>
    </row>
    <row r="253">
      <c r="A253" s="75"/>
      <c r="B253" s="66">
        <f t="shared" si="5"/>
        <v>226</v>
      </c>
      <c r="C253" s="68">
        <f t="shared" si="8"/>
        <v>66170.31556</v>
      </c>
      <c r="D253" s="68">
        <f t="shared" si="1"/>
        <v>60004.91735</v>
      </c>
      <c r="E253" s="68">
        <f t="shared" si="2"/>
        <v>6165.398217</v>
      </c>
      <c r="F253" s="73">
        <f t="shared" si="7"/>
        <v>882476.3387</v>
      </c>
      <c r="G253" s="74">
        <f t="shared" si="3"/>
        <v>0.9068253164</v>
      </c>
      <c r="H253" s="74">
        <f t="shared" si="4"/>
        <v>0.0931746836</v>
      </c>
    </row>
    <row r="254">
      <c r="A254" s="75"/>
      <c r="B254" s="66">
        <f t="shared" si="5"/>
        <v>227</v>
      </c>
      <c r="C254" s="68">
        <f t="shared" si="8"/>
        <v>66170.31556</v>
      </c>
      <c r="D254" s="68">
        <f t="shared" si="1"/>
        <v>60397.44951</v>
      </c>
      <c r="E254" s="68">
        <f t="shared" si="2"/>
        <v>5772.866049</v>
      </c>
      <c r="F254" s="73">
        <f t="shared" si="7"/>
        <v>822078.8892</v>
      </c>
      <c r="G254" s="74">
        <f t="shared" si="3"/>
        <v>0.9127574653</v>
      </c>
      <c r="H254" s="74">
        <f t="shared" si="4"/>
        <v>0.08724253466</v>
      </c>
    </row>
    <row r="255">
      <c r="A255" s="75"/>
      <c r="B255" s="66">
        <f t="shared" si="5"/>
        <v>228</v>
      </c>
      <c r="C255" s="68">
        <f t="shared" si="8"/>
        <v>66170.31556</v>
      </c>
      <c r="D255" s="68">
        <f t="shared" si="1"/>
        <v>60792.5495</v>
      </c>
      <c r="E255" s="68">
        <f t="shared" si="2"/>
        <v>5377.766067</v>
      </c>
      <c r="F255" s="73">
        <f t="shared" si="7"/>
        <v>761286.3397</v>
      </c>
      <c r="G255" s="74">
        <f t="shared" si="3"/>
        <v>0.9187284204</v>
      </c>
      <c r="H255" s="74">
        <f t="shared" si="4"/>
        <v>0.08127157957</v>
      </c>
    </row>
    <row r="256">
      <c r="A256" s="65">
        <v>20.0</v>
      </c>
      <c r="B256" s="66">
        <f t="shared" si="5"/>
        <v>229</v>
      </c>
      <c r="C256" s="68">
        <f t="shared" si="8"/>
        <v>66170.31556</v>
      </c>
      <c r="D256" s="68">
        <f t="shared" si="1"/>
        <v>61190.23409</v>
      </c>
      <c r="E256" s="68">
        <f t="shared" si="2"/>
        <v>4980.081472</v>
      </c>
      <c r="F256" s="73">
        <f t="shared" si="7"/>
        <v>700096.1056</v>
      </c>
      <c r="G256" s="74">
        <f t="shared" si="3"/>
        <v>0.9247384355</v>
      </c>
      <c r="H256" s="74">
        <f t="shared" si="4"/>
        <v>0.07526156449</v>
      </c>
    </row>
    <row r="257">
      <c r="A257" s="75"/>
      <c r="B257" s="66">
        <f t="shared" si="5"/>
        <v>230</v>
      </c>
      <c r="C257" s="68">
        <f t="shared" si="8"/>
        <v>66170.31556</v>
      </c>
      <c r="D257" s="68">
        <f t="shared" si="1"/>
        <v>61590.52021</v>
      </c>
      <c r="E257" s="68">
        <f t="shared" si="2"/>
        <v>4579.795357</v>
      </c>
      <c r="F257" s="73">
        <f t="shared" si="7"/>
        <v>638505.5854</v>
      </c>
      <c r="G257" s="74">
        <f t="shared" si="3"/>
        <v>0.9307877661</v>
      </c>
      <c r="H257" s="74">
        <f t="shared" si="4"/>
        <v>0.06921223389</v>
      </c>
    </row>
    <row r="258">
      <c r="A258" s="75"/>
      <c r="B258" s="66">
        <f t="shared" si="5"/>
        <v>231</v>
      </c>
      <c r="C258" s="68">
        <f t="shared" si="8"/>
        <v>66170.31556</v>
      </c>
      <c r="D258" s="68">
        <f t="shared" si="1"/>
        <v>61993.42486</v>
      </c>
      <c r="E258" s="68">
        <f t="shared" si="2"/>
        <v>4176.890704</v>
      </c>
      <c r="F258" s="73">
        <f t="shared" si="7"/>
        <v>576512.1605</v>
      </c>
      <c r="G258" s="74">
        <f t="shared" si="3"/>
        <v>0.9368766694</v>
      </c>
      <c r="H258" s="74">
        <f t="shared" si="4"/>
        <v>0.06312333059</v>
      </c>
    </row>
    <row r="259">
      <c r="A259" s="75"/>
      <c r="B259" s="66">
        <f t="shared" si="5"/>
        <v>232</v>
      </c>
      <c r="C259" s="68">
        <f t="shared" si="8"/>
        <v>66170.31556</v>
      </c>
      <c r="D259" s="68">
        <f t="shared" si="1"/>
        <v>62398.96518</v>
      </c>
      <c r="E259" s="68">
        <f t="shared" si="2"/>
        <v>3771.350383</v>
      </c>
      <c r="F259" s="73">
        <f t="shared" si="7"/>
        <v>514113.1953</v>
      </c>
      <c r="G259" s="74">
        <f t="shared" si="3"/>
        <v>0.9430054043</v>
      </c>
      <c r="H259" s="74">
        <f t="shared" si="4"/>
        <v>0.05699459571</v>
      </c>
    </row>
    <row r="260">
      <c r="A260" s="75"/>
      <c r="B260" s="66">
        <f t="shared" si="5"/>
        <v>233</v>
      </c>
      <c r="C260" s="68">
        <f t="shared" si="8"/>
        <v>66170.31556</v>
      </c>
      <c r="D260" s="68">
        <f t="shared" si="1"/>
        <v>62807.15841</v>
      </c>
      <c r="E260" s="68">
        <f t="shared" si="2"/>
        <v>3363.157153</v>
      </c>
      <c r="F260" s="73">
        <f t="shared" si="7"/>
        <v>451306.0369</v>
      </c>
      <c r="G260" s="74">
        <f t="shared" si="3"/>
        <v>0.9491742313</v>
      </c>
      <c r="H260" s="74">
        <f t="shared" si="4"/>
        <v>0.05082576869</v>
      </c>
    </row>
    <row r="261">
      <c r="A261" s="75"/>
      <c r="B261" s="66">
        <f t="shared" si="5"/>
        <v>234</v>
      </c>
      <c r="C261" s="68">
        <f t="shared" si="8"/>
        <v>66170.31556</v>
      </c>
      <c r="D261" s="68">
        <f t="shared" si="1"/>
        <v>63218.0219</v>
      </c>
      <c r="E261" s="68">
        <f t="shared" si="2"/>
        <v>2952.293658</v>
      </c>
      <c r="F261" s="73">
        <f t="shared" si="7"/>
        <v>388088.015</v>
      </c>
      <c r="G261" s="74">
        <f t="shared" si="3"/>
        <v>0.9553834127</v>
      </c>
      <c r="H261" s="74">
        <f t="shared" si="4"/>
        <v>0.04461658726</v>
      </c>
    </row>
    <row r="262">
      <c r="A262" s="75"/>
      <c r="B262" s="66">
        <f t="shared" si="5"/>
        <v>235</v>
      </c>
      <c r="C262" s="68">
        <f t="shared" si="8"/>
        <v>66170.31556</v>
      </c>
      <c r="D262" s="68">
        <f t="shared" si="1"/>
        <v>63631.57313</v>
      </c>
      <c r="E262" s="68">
        <f t="shared" si="2"/>
        <v>2538.742432</v>
      </c>
      <c r="F262" s="73">
        <f t="shared" si="7"/>
        <v>324456.4419</v>
      </c>
      <c r="G262" s="74">
        <f t="shared" si="3"/>
        <v>0.9616332126</v>
      </c>
      <c r="H262" s="74">
        <f t="shared" si="4"/>
        <v>0.03836678743</v>
      </c>
    </row>
    <row r="263">
      <c r="A263" s="75"/>
      <c r="B263" s="66">
        <f t="shared" si="5"/>
        <v>236</v>
      </c>
      <c r="C263" s="68">
        <f t="shared" si="8"/>
        <v>66170.31556</v>
      </c>
      <c r="D263" s="68">
        <f t="shared" si="1"/>
        <v>64047.82967</v>
      </c>
      <c r="E263" s="68">
        <f t="shared" si="2"/>
        <v>2122.485891</v>
      </c>
      <c r="F263" s="73">
        <f t="shared" si="7"/>
        <v>260408.6122</v>
      </c>
      <c r="G263" s="74">
        <f t="shared" si="3"/>
        <v>0.9679238965</v>
      </c>
      <c r="H263" s="74">
        <f t="shared" si="4"/>
        <v>0.0320761035</v>
      </c>
    </row>
    <row r="264">
      <c r="A264" s="75"/>
      <c r="B264" s="66">
        <f t="shared" si="5"/>
        <v>237</v>
      </c>
      <c r="C264" s="68">
        <f t="shared" si="8"/>
        <v>66170.31556</v>
      </c>
      <c r="D264" s="68">
        <f t="shared" si="1"/>
        <v>64466.80922</v>
      </c>
      <c r="E264" s="68">
        <f t="shared" si="2"/>
        <v>1703.506338</v>
      </c>
      <c r="F264" s="73">
        <f t="shared" si="7"/>
        <v>195941.803</v>
      </c>
      <c r="G264" s="74">
        <f t="shared" si="3"/>
        <v>0.974255732</v>
      </c>
      <c r="H264" s="74">
        <f t="shared" si="4"/>
        <v>0.02574426801</v>
      </c>
    </row>
    <row r="265">
      <c r="A265" s="75"/>
      <c r="B265" s="66">
        <f t="shared" si="5"/>
        <v>238</v>
      </c>
      <c r="C265" s="68">
        <f t="shared" si="8"/>
        <v>66170.31556</v>
      </c>
      <c r="D265" s="68">
        <f t="shared" si="1"/>
        <v>64888.5296</v>
      </c>
      <c r="E265" s="68">
        <f t="shared" si="2"/>
        <v>1281.785961</v>
      </c>
      <c r="F265" s="73">
        <f t="shared" si="7"/>
        <v>131053.2734</v>
      </c>
      <c r="G265" s="74">
        <f t="shared" si="3"/>
        <v>0.9806289882</v>
      </c>
      <c r="H265" s="74">
        <f t="shared" si="4"/>
        <v>0.01937101177</v>
      </c>
    </row>
    <row r="266">
      <c r="A266" s="75"/>
      <c r="B266" s="66">
        <f t="shared" si="5"/>
        <v>239</v>
      </c>
      <c r="C266" s="68">
        <f t="shared" si="8"/>
        <v>66170.31556</v>
      </c>
      <c r="D266" s="68">
        <f t="shared" si="1"/>
        <v>65313.00873</v>
      </c>
      <c r="E266" s="68">
        <f t="shared" si="2"/>
        <v>857.3068301</v>
      </c>
      <c r="F266" s="73">
        <f t="shared" si="7"/>
        <v>65740.26466</v>
      </c>
      <c r="G266" s="74">
        <f t="shared" si="3"/>
        <v>0.9870439362</v>
      </c>
      <c r="H266" s="74">
        <f t="shared" si="4"/>
        <v>0.0129560638</v>
      </c>
    </row>
    <row r="267">
      <c r="A267" s="75"/>
      <c r="B267" s="66">
        <f t="shared" si="5"/>
        <v>240</v>
      </c>
      <c r="C267" s="68">
        <f t="shared" si="8"/>
        <v>66170.31556</v>
      </c>
      <c r="D267" s="68">
        <f t="shared" si="1"/>
        <v>65740.26466</v>
      </c>
      <c r="E267" s="68">
        <f t="shared" si="2"/>
        <v>430.050898</v>
      </c>
      <c r="F267" s="73">
        <f t="shared" si="7"/>
        <v>0</v>
      </c>
      <c r="G267" s="74">
        <f t="shared" si="3"/>
        <v>0.9935008486</v>
      </c>
      <c r="H267" s="74">
        <f t="shared" si="4"/>
        <v>0.006499151385</v>
      </c>
    </row>
  </sheetData>
  <mergeCells count="7">
    <mergeCell ref="A1:B1"/>
    <mergeCell ref="A3:B3"/>
    <mergeCell ref="E3:H3"/>
    <mergeCell ref="E4:H4"/>
    <mergeCell ref="E5:H5"/>
    <mergeCell ref="E6:H6"/>
    <mergeCell ref="A21:B21"/>
  </mergeCells>
  <dataValidations>
    <dataValidation type="decimal" allowBlank="1" showDropDown="1" showErrorMessage="1" sqref="B8">
      <formula1>1.0</formula1>
      <formula2>30.0</formula2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8.0"/>
    <col customWidth="1" min="3" max="3" width="17.5"/>
    <col customWidth="1" min="4" max="4" width="36.38"/>
    <col customWidth="1" min="5" max="26" width="8.63"/>
  </cols>
  <sheetData>
    <row r="1">
      <c r="A1" s="1" t="s">
        <v>0</v>
      </c>
      <c r="C1" s="3"/>
      <c r="D1" s="4" t="s">
        <v>2</v>
      </c>
    </row>
    <row r="2" ht="24.0" customHeight="1">
      <c r="A2" s="6"/>
      <c r="B2" s="6"/>
      <c r="C2" s="6"/>
      <c r="D2" s="8" t="s">
        <v>3</v>
      </c>
    </row>
    <row r="3">
      <c r="A3" s="5" t="s">
        <v>5</v>
      </c>
      <c r="B3" s="7"/>
      <c r="C3" s="10"/>
      <c r="D3" s="11" t="s">
        <v>6</v>
      </c>
    </row>
    <row r="4">
      <c r="A4" s="14" t="s">
        <v>7</v>
      </c>
      <c r="B4" s="14">
        <v>500.0</v>
      </c>
      <c r="C4" s="15"/>
      <c r="D4" s="11" t="s">
        <v>9</v>
      </c>
    </row>
    <row r="5">
      <c r="A5" s="16" t="s">
        <v>10</v>
      </c>
      <c r="B5" s="17">
        <v>8000.0</v>
      </c>
      <c r="C5" s="18"/>
      <c r="D5" s="19"/>
    </row>
    <row r="6">
      <c r="A6" s="20" t="s">
        <v>11</v>
      </c>
      <c r="B6" s="22">
        <f>B5*B4</f>
        <v>4000000</v>
      </c>
      <c r="C6" s="18"/>
      <c r="D6" s="19"/>
    </row>
    <row r="7">
      <c r="A7" s="16" t="s">
        <v>12</v>
      </c>
      <c r="B7" s="17">
        <f>5%*B6</f>
        <v>200000</v>
      </c>
      <c r="C7" s="18"/>
      <c r="D7" s="19"/>
    </row>
    <row r="8">
      <c r="A8" s="16" t="s">
        <v>14</v>
      </c>
      <c r="B8" s="17">
        <f>1%*B6</f>
        <v>40000</v>
      </c>
      <c r="C8" s="18"/>
      <c r="D8" s="19"/>
    </row>
    <row r="9">
      <c r="A9" s="16" t="s">
        <v>17</v>
      </c>
      <c r="B9" s="17">
        <f>0.5%*B6</f>
        <v>20000</v>
      </c>
      <c r="C9" s="18"/>
      <c r="D9" s="19"/>
    </row>
    <row r="10">
      <c r="A10" s="16" t="s">
        <v>18</v>
      </c>
      <c r="B10" s="17">
        <v>25000.0</v>
      </c>
      <c r="C10" s="18"/>
      <c r="D10" s="19"/>
    </row>
    <row r="11">
      <c r="A11" s="16" t="s">
        <v>19</v>
      </c>
      <c r="B11" s="17">
        <v>10000.0</v>
      </c>
      <c r="C11" s="18"/>
      <c r="D11" s="19"/>
    </row>
    <row r="12">
      <c r="A12" s="27" t="s">
        <v>20</v>
      </c>
      <c r="B12" s="30">
        <f>SUM(B6:B11)</f>
        <v>4295000</v>
      </c>
      <c r="C12" s="18"/>
      <c r="D12" s="19"/>
    </row>
    <row r="13">
      <c r="A13" s="31"/>
      <c r="B13" s="31"/>
      <c r="C13" s="18"/>
      <c r="D13" s="19"/>
    </row>
    <row r="14">
      <c r="A14" s="33" t="s">
        <v>24</v>
      </c>
      <c r="B14" s="7"/>
      <c r="C14" s="18"/>
      <c r="D14" s="19"/>
    </row>
    <row r="15">
      <c r="A15" s="16" t="s">
        <v>26</v>
      </c>
      <c r="B15" s="34">
        <v>450.0</v>
      </c>
      <c r="C15" s="18"/>
      <c r="D15" s="19"/>
    </row>
    <row r="16">
      <c r="A16" s="16" t="s">
        <v>27</v>
      </c>
      <c r="B16" s="34">
        <v>1750.0</v>
      </c>
      <c r="C16" s="18"/>
      <c r="D16" s="19"/>
    </row>
    <row r="17">
      <c r="A17" s="16" t="s">
        <v>28</v>
      </c>
      <c r="B17" s="17">
        <v>2500.0</v>
      </c>
      <c r="C17" s="18"/>
      <c r="D17" s="19"/>
    </row>
    <row r="18">
      <c r="A18" s="27" t="s">
        <v>30</v>
      </c>
      <c r="B18" s="30">
        <f>B17*B16</f>
        <v>4375000</v>
      </c>
      <c r="C18" s="18"/>
      <c r="D18" s="19"/>
    </row>
    <row r="19">
      <c r="A19" s="16" t="s">
        <v>31</v>
      </c>
      <c r="B19" s="17">
        <v>20000.0</v>
      </c>
      <c r="C19" s="18"/>
      <c r="D19" s="19"/>
    </row>
    <row r="20">
      <c r="A20" s="16" t="s">
        <v>33</v>
      </c>
      <c r="B20" s="40">
        <f>3%*B18</f>
        <v>131250</v>
      </c>
      <c r="C20" s="18"/>
      <c r="D20" s="19"/>
    </row>
    <row r="21">
      <c r="A21" s="16" t="s">
        <v>38</v>
      </c>
      <c r="B21" s="17">
        <v>15000.0</v>
      </c>
      <c r="C21" s="18"/>
      <c r="D21" s="19"/>
    </row>
    <row r="22">
      <c r="A22" s="16" t="s">
        <v>39</v>
      </c>
      <c r="B22" s="17">
        <v>35000.0</v>
      </c>
      <c r="C22" s="18"/>
      <c r="D22" s="19"/>
    </row>
    <row r="23">
      <c r="A23" s="42" t="s">
        <v>40</v>
      </c>
      <c r="B23" s="17">
        <v>50000.0</v>
      </c>
      <c r="C23" s="18"/>
      <c r="D23" s="19"/>
    </row>
    <row r="24">
      <c r="A24" s="44" t="s">
        <v>41</v>
      </c>
      <c r="B24" s="40">
        <v>15000.0</v>
      </c>
      <c r="C24" s="18"/>
      <c r="D24" s="19"/>
    </row>
    <row r="25">
      <c r="A25" s="44" t="s">
        <v>42</v>
      </c>
      <c r="B25" s="40">
        <v>15000.0</v>
      </c>
      <c r="C25" s="18"/>
      <c r="D25" s="19"/>
    </row>
    <row r="26">
      <c r="A26" s="44" t="s">
        <v>43</v>
      </c>
      <c r="B26" s="40">
        <v>10000.0</v>
      </c>
      <c r="C26" s="18"/>
      <c r="D26" s="19"/>
    </row>
    <row r="27">
      <c r="A27" s="44" t="s">
        <v>44</v>
      </c>
      <c r="B27" s="17">
        <v>200000.0</v>
      </c>
      <c r="C27" s="18"/>
      <c r="D27" s="19"/>
    </row>
    <row r="28">
      <c r="A28" s="44" t="s">
        <v>45</v>
      </c>
      <c r="B28" s="40">
        <v>100000.0</v>
      </c>
      <c r="C28" s="18"/>
      <c r="D28" s="19"/>
    </row>
    <row r="29">
      <c r="A29" s="44" t="s">
        <v>46</v>
      </c>
      <c r="B29" s="40">
        <v>60000.0</v>
      </c>
      <c r="C29" s="18"/>
      <c r="D29" s="19"/>
    </row>
    <row r="30">
      <c r="A30" s="16" t="s">
        <v>47</v>
      </c>
      <c r="B30" s="17">
        <v>100000.0</v>
      </c>
      <c r="C30" s="18"/>
      <c r="D30" s="19"/>
    </row>
    <row r="31">
      <c r="A31" s="44" t="s">
        <v>48</v>
      </c>
      <c r="B31" s="17">
        <v>200000.0</v>
      </c>
      <c r="C31" s="18"/>
      <c r="D31" s="19"/>
    </row>
    <row r="32">
      <c r="A32" s="16" t="s">
        <v>49</v>
      </c>
      <c r="B32" s="17">
        <v>800000.0</v>
      </c>
      <c r="C32" s="18"/>
      <c r="D32" s="19"/>
    </row>
    <row r="33">
      <c r="A33" s="44" t="s">
        <v>50</v>
      </c>
      <c r="B33" s="40">
        <v>50000.0</v>
      </c>
      <c r="C33" s="18"/>
      <c r="D33" s="19"/>
    </row>
    <row r="34">
      <c r="A34" s="44" t="s">
        <v>51</v>
      </c>
      <c r="B34" s="40">
        <v>15000.0</v>
      </c>
      <c r="C34" s="18"/>
      <c r="D34" s="19"/>
    </row>
    <row r="35">
      <c r="A35" s="27" t="s">
        <v>52</v>
      </c>
      <c r="B35" s="30">
        <f>SUM(B18:B34)</f>
        <v>6191250</v>
      </c>
      <c r="C35" s="18"/>
      <c r="D35" s="19"/>
    </row>
    <row r="36">
      <c r="A36" s="27" t="s">
        <v>53</v>
      </c>
      <c r="B36" s="30">
        <f>20%*B35</f>
        <v>1238250</v>
      </c>
      <c r="C36" s="18"/>
      <c r="D36" s="19"/>
    </row>
    <row r="37">
      <c r="A37" s="45" t="s">
        <v>54</v>
      </c>
      <c r="B37" s="47">
        <f>B35+B36+B12</f>
        <v>11724500</v>
      </c>
      <c r="C37" s="18"/>
      <c r="D37" s="19"/>
    </row>
    <row r="38">
      <c r="A38" s="19"/>
      <c r="B38" s="19"/>
      <c r="C38" s="18"/>
      <c r="D38" s="19"/>
    </row>
    <row r="39">
      <c r="A39" s="38" t="s">
        <v>32</v>
      </c>
      <c r="B39" s="38" t="s">
        <v>34</v>
      </c>
      <c r="C39" s="38" t="s">
        <v>35</v>
      </c>
      <c r="D39" s="38" t="s">
        <v>36</v>
      </c>
    </row>
    <row r="40">
      <c r="A40" s="39" t="s">
        <v>37</v>
      </c>
      <c r="B40" s="41">
        <f>(B6+B18)*0.5/100</f>
        <v>41875</v>
      </c>
      <c r="C40" s="43">
        <v>0.05</v>
      </c>
      <c r="D40" s="46">
        <f>B40*((1+C40)^B49 - 1)/C40</f>
        <v>1384636.828</v>
      </c>
    </row>
    <row r="41">
      <c r="A41" s="16" t="s">
        <v>59</v>
      </c>
      <c r="B41" s="52">
        <v>3000.0</v>
      </c>
      <c r="C41" s="53">
        <v>0.05</v>
      </c>
      <c r="D41" s="57">
        <f>B41*((1+C41)^B49 - 1)/C41</f>
        <v>99197.86231</v>
      </c>
    </row>
    <row r="42">
      <c r="A42" s="16" t="s">
        <v>65</v>
      </c>
      <c r="B42" s="52">
        <v>20000.0</v>
      </c>
      <c r="C42" s="53">
        <v>0.05</v>
      </c>
      <c r="D42" s="57">
        <f>B42*((1+C42)^B49 - 1)/C42</f>
        <v>661319.0821</v>
      </c>
    </row>
    <row r="43">
      <c r="A43" s="20" t="s">
        <v>60</v>
      </c>
      <c r="B43" s="61"/>
      <c r="C43" s="62"/>
      <c r="D43" s="67">
        <f>SUM(D40:D42)</f>
        <v>2145153.772</v>
      </c>
    </row>
    <row r="44">
      <c r="A44" s="19"/>
      <c r="B44" s="19"/>
      <c r="C44" s="18"/>
      <c r="D44" s="19"/>
    </row>
    <row r="45">
      <c r="A45" s="33" t="s">
        <v>74</v>
      </c>
      <c r="B45" s="7"/>
      <c r="C45" s="18"/>
      <c r="D45" s="19"/>
    </row>
    <row r="46">
      <c r="A46" s="55" t="s">
        <v>75</v>
      </c>
      <c r="B46" s="69">
        <f>80%*B37</f>
        <v>9379600</v>
      </c>
    </row>
    <row r="47">
      <c r="A47" s="55" t="s">
        <v>76</v>
      </c>
      <c r="B47" s="70">
        <f>20%*B37</f>
        <v>2344900</v>
      </c>
    </row>
    <row r="48">
      <c r="A48" s="55" t="s">
        <v>77</v>
      </c>
      <c r="B48" s="71">
        <v>0.085</v>
      </c>
    </row>
    <row r="49">
      <c r="A49" s="55" t="s">
        <v>78</v>
      </c>
      <c r="B49" s="55">
        <v>20.0</v>
      </c>
    </row>
    <row r="50">
      <c r="A50" s="55" t="s">
        <v>79</v>
      </c>
      <c r="B50" s="71">
        <v>0.045</v>
      </c>
    </row>
    <row r="51">
      <c r="A51" s="72" t="s">
        <v>80</v>
      </c>
      <c r="B51" s="47">
        <f>PMT(B48/12,B49*12,-B46)</f>
        <v>81398.348</v>
      </c>
    </row>
    <row r="52">
      <c r="A52" s="72" t="s">
        <v>81</v>
      </c>
      <c r="B52" s="47">
        <f>B51*12*B49</f>
        <v>19535603.52</v>
      </c>
    </row>
    <row r="53">
      <c r="A53" s="72" t="s">
        <v>82</v>
      </c>
      <c r="B53" s="47">
        <f>B52+B47</f>
        <v>21880503.52</v>
      </c>
    </row>
    <row r="54"/>
    <row r="55">
      <c r="A55" s="5" t="s">
        <v>61</v>
      </c>
      <c r="B55" s="7"/>
    </row>
    <row r="56">
      <c r="A56" s="55" t="s">
        <v>62</v>
      </c>
      <c r="B56" s="54">
        <f>B53+D43</f>
        <v>24025657.29</v>
      </c>
    </row>
    <row r="57">
      <c r="A57" s="55" t="s">
        <v>63</v>
      </c>
      <c r="B57" s="54">
        <f> (B46+B47)*(1+B50)^B49</f>
        <v>28276141.08</v>
      </c>
    </row>
    <row r="58">
      <c r="A58" s="56" t="s">
        <v>64</v>
      </c>
      <c r="B58" s="58">
        <f>B57-B56</f>
        <v>4250483.793</v>
      </c>
    </row>
    <row r="59">
      <c r="A59" s="56" t="s">
        <v>66</v>
      </c>
      <c r="B59" s="59">
        <f>B58/B56</f>
        <v>0.1769143604</v>
      </c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</sheetData>
  <mergeCells count="10">
    <mergeCell ref="A14:B14"/>
    <mergeCell ref="A45:B45"/>
    <mergeCell ref="A55:B55"/>
    <mergeCell ref="A1:B1"/>
    <mergeCell ref="D1:G1"/>
    <mergeCell ref="D2:G2"/>
    <mergeCell ref="A3:B3"/>
    <mergeCell ref="D3:G3"/>
    <mergeCell ref="D4:G4"/>
    <mergeCell ref="D5:G5"/>
  </mergeCells>
  <printOptions/>
  <pageMargins bottom="0.75" footer="0.0" header="0.0" left="0.7" right="0.7" top="0.75"/>
  <pageSetup orientation="landscape"/>
  <drawing r:id="rId2"/>
  <legacyDrawing r:id="rId3"/>
</worksheet>
</file>