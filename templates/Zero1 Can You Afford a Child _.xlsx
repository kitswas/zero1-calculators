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Your Profile" sheetId="2" r:id="rId6"/>
    <sheet state="visible" name="Birth Cost" sheetId="3" r:id="rId7"/>
    <sheet state="visible" name="First 3 Years" sheetId="4" r:id="rId8"/>
    <sheet state="visible" name="Education 3-18" sheetId="5" r:id="rId9"/>
    <sheet state="visible" name="Coaching &amp; Tuition" sheetId="6" r:id="rId10"/>
    <sheet state="visible" name="Healthcare 0-18" sheetId="7" r:id="rId11"/>
    <sheet state="visible" name="TOTAL SUMMARY" sheetId="8" r:id="rId12"/>
  </sheets>
  <definedNames/>
  <calcPr/>
</workbook>
</file>

<file path=xl/sharedStrings.xml><?xml version="1.0" encoding="utf-8"?>
<sst xmlns="http://schemas.openxmlformats.org/spreadsheetml/2006/main" count="294" uniqueCount="281">
  <si>
    <t>DATA SOURCES USED:</t>
  </si>
  <si>
    <t>• NSO 2025 Health Survey — childbirth expenses (PIB/MOSPI)</t>
  </si>
  <si>
    <t>• CMS Education Survey 2025 (NSS 80th Round) — school expenditure data</t>
  </si>
  <si>
    <t>• NFHS-5 — fertility rate data</t>
  </si>
  <si>
    <t>• OECD — global fertility and affordability data</t>
  </si>
  <si>
    <t>• UNFPA 2025 India Report — reproductive choice data</t>
  </si>
  <si>
    <t>• PLFS — women's labour force participation data</t>
  </si>
  <si>
    <t>• Indian Academy of Pediatrics (IAP) — vaccination schedule &amp; costs</t>
  </si>
  <si>
    <t>• Market research — daycare, nanny, diaper, baby product costs (2025-26)</t>
  </si>
  <si>
    <t>DISCLAIMER:</t>
  </si>
  <si>
    <t>This calculator is for educational purposes only. It is NOT financial advice.</t>
  </si>
  <si>
    <t>Actual costs will vary by city, lifestyle, choices, and timing. Use this as a starting point.</t>
  </si>
  <si>
    <t>YOUR FAMILY PROFILE</t>
  </si>
  <si>
    <t>Fill in the yellow cells below. These feed into all other sheets.</t>
  </si>
  <si>
    <t>EDUCATION COST — AGE 3 TO 18</t>
  </si>
  <si>
    <t>BASIC DETAILS</t>
  </si>
  <si>
    <t>BIRTH &amp; PREGNANCY COST</t>
  </si>
  <si>
    <t>FIRST 3 YEARS — THE SUBSCRIPTION PHASE</t>
  </si>
  <si>
    <t>Source: NSO 2025 Health Survey — Avg OOP childbirth: ₹2,299 (public) / ₹37,630 (private) / ₹14,775 (all)</t>
  </si>
  <si>
    <t>These are MONTHLY recurring costs. The first 3 years are expensive because every small bill repeats.</t>
  </si>
  <si>
    <t>Source: CMS Education 2025 — Avg per student: ₹2,863 (govt) / ₹25,002 (non-govt). Course fees alone: ₹7,111 avg. Urban: ₹15,143.</t>
  </si>
  <si>
    <t>City Type</t>
  </si>
  <si>
    <t>Expense Item</t>
  </si>
  <si>
    <t>Education Stage</t>
  </si>
  <si>
    <t>Tier 2</t>
  </si>
  <si>
    <t>Monthly Expense</t>
  </si>
  <si>
    <t>Your Estimate (₹)</t>
  </si>
  <si>
    <t>Your Estimate (₹/month)</t>
  </si>
  <si>
    <t>Type: Tier 1 or Tier 2</t>
  </si>
  <si>
    <t>Govt School (₹/yr)</t>
  </si>
  <si>
    <t>Typical Range (₹)</t>
  </si>
  <si>
    <t>Notes</t>
  </si>
  <si>
    <t>Pvt Mid-Range (₹/yr)</t>
  </si>
  <si>
    <t>Typical Range</t>
  </si>
  <si>
    <t>Pvt Premium (₹/yr)</t>
  </si>
  <si>
    <t>Source / Notes</t>
  </si>
  <si>
    <t>Your Monthly Household Income (₹)</t>
  </si>
  <si>
    <t>ANNUAL SCHOOL FEES</t>
  </si>
  <si>
    <t>PRE-PREGNANCY</t>
  </si>
  <si>
    <t>FEEDING</t>
  </si>
  <si>
    <t>Pre-Primary (Age 3-5) — Nursery/KG</t>
  </si>
  <si>
    <t>Partner's Monthly Income (₹) — 0 if single income</t>
  </si>
  <si>
    <t>Fertility tests / pre-conception checkups</t>
  </si>
  <si>
    <t>Baby formula / supplementary food</t>
  </si>
  <si>
    <t>Current Monthly Rent / EMI (₹)</t>
  </si>
  <si>
    <t>Annual Household Income (₹)</t>
  </si>
  <si>
    <t>3,000 – 15,000</t>
  </si>
  <si>
    <t>1,500 – 6,000</t>
  </si>
  <si>
    <t>2 years — playschool + KG</t>
  </si>
  <si>
    <t>Optional but common in metro cities</t>
  </si>
  <si>
    <t>Breastfeeding reduces this significantly</t>
  </si>
  <si>
    <t>Primary (Class 1-5)</t>
  </si>
  <si>
    <t>Prenatal vitamins &amp; supplements (9 months)</t>
  </si>
  <si>
    <t>Baby cereal, purees, snacks (6+ months)</t>
  </si>
  <si>
    <t>1,000 – 4,000</t>
  </si>
  <si>
    <t>5,000 – 15,000</t>
  </si>
  <si>
    <t>Folic acid, iron, calcium, DHA</t>
  </si>
  <si>
    <t>Homemade vs store-bought matters</t>
  </si>
  <si>
    <t>CMS 2025: govt avg ₹2,863/yr</t>
  </si>
  <si>
    <t>Middle School (Class 6-8)</t>
  </si>
  <si>
    <t>Fees rise with class level</t>
  </si>
  <si>
    <t>Secondary (Class 9-10)</t>
  </si>
  <si>
    <t>Board exam year — extra pressure</t>
  </si>
  <si>
    <t>Higher Secondary (Class 11-12)</t>
  </si>
  <si>
    <t>PREGNANCY (9 MONTHS)</t>
  </si>
  <si>
    <t>Stream choice adds cost (Science &gt; Arts)</t>
  </si>
  <si>
    <t>DIAPERS &amp; HYGIENE</t>
  </si>
  <si>
    <t>ANNUAL ADD-ON COSTS (per year)</t>
  </si>
  <si>
    <t>Books &amp; Stationery</t>
  </si>
  <si>
    <t>CMS 2025 avg: ₹2,002</t>
  </si>
  <si>
    <t>Diapers (5-6/day average)</t>
  </si>
  <si>
    <t>OB-GYN consultation visits (10-12 visits)</t>
  </si>
  <si>
    <t>5,000 – 30,000</t>
  </si>
  <si>
    <t>2,000 – 5,000</t>
  </si>
  <si>
    <t>Uniform (2 sets/year)</t>
  </si>
  <si>
    <t>₹500-2,500 per visit private</t>
  </si>
  <si>
    <t>~₹35,000-70,000 over 2.5 years</t>
  </si>
  <si>
    <t>Branded uniforms cost more</t>
  </si>
  <si>
    <t>School Transport</t>
  </si>
  <si>
    <t>Ultrasound scans (3-5 scans)</t>
  </si>
  <si>
    <t>Wipes, rash cream, baby soap, oil</t>
  </si>
  <si>
    <t>NT scan, anomaly scan, growth scans</t>
  </si>
  <si>
    <t>800 – 3,000</t>
  </si>
  <si>
    <t>Monthly consumables</t>
  </si>
  <si>
    <t>Blood tests &amp; lab work</t>
  </si>
  <si>
    <t>4,000 – 15,000</t>
  </si>
  <si>
    <t>CBC, thyroid, glucose, infections</t>
  </si>
  <si>
    <t>CMS 2025 avg: ₹1,842. School bus/van</t>
  </si>
  <si>
    <t>CHILD PLANNING PREFERENCES</t>
  </si>
  <si>
    <t>Activities &amp; Sports Fees</t>
  </si>
  <si>
    <t>Medicines during pregnancy</t>
  </si>
  <si>
    <t>HEALTHCARE</t>
  </si>
  <si>
    <t>Swimming, music, art, robotics</t>
  </si>
  <si>
    <t>2,000 – 10,000</t>
  </si>
  <si>
    <t>Supplements + any prescribed meds</t>
  </si>
  <si>
    <t>School Trips &amp; Events</t>
  </si>
  <si>
    <t>Excursions, annual day, sports day</t>
  </si>
  <si>
    <t>Maternity clothing</t>
  </si>
  <si>
    <t>Devices — Tablet/Laptop (amortized)</t>
  </si>
  <si>
    <t>Comfortable wear for 6+ months</t>
  </si>
  <si>
    <t>Hospital Type</t>
  </si>
  <si>
    <t>One device every 3-4 years</t>
  </si>
  <si>
    <t xml:space="preserve">Private  </t>
  </si>
  <si>
    <t>Pediatrician visits (1-2/month)</t>
  </si>
  <si>
    <t>Projects, Competitions, Exams</t>
  </si>
  <si>
    <t>Regular checkups + sick visits</t>
  </si>
  <si>
    <t>Prenatal classes (optional)</t>
  </si>
  <si>
    <t>Science fairs, olympiads, registration</t>
  </si>
  <si>
    <t>0 – 10,000</t>
  </si>
  <si>
    <t>Lamaze, birthing workshops</t>
  </si>
  <si>
    <t>Type: Public or Private</t>
  </si>
  <si>
    <t>Vaccines (private — monthly average)</t>
  </si>
  <si>
    <t>TOTAL EDUCATION COST CALCULATOR (15 years: age 3 to 18)</t>
  </si>
  <si>
    <t>500 – 3,000</t>
  </si>
  <si>
    <t>Mother's nutrition — extra food cost (9 months)</t>
  </si>
  <si>
    <t>IAP schedule: ₹20,000-50,000 total over 2 yrs</t>
  </si>
  <si>
    <t>15,000 – 40,000</t>
  </si>
  <si>
    <t>~₹3,000/month extra nutrition</t>
  </si>
  <si>
    <t>School Type</t>
  </si>
  <si>
    <t>Private Mid-Range</t>
  </si>
  <si>
    <t>Medicines (fever, cough, stomach)</t>
  </si>
  <si>
    <t>Travel to hospital / clinic</t>
  </si>
  <si>
    <t>500 – 2,000</t>
  </si>
  <si>
    <t>Choose your school type →</t>
  </si>
  <si>
    <t>Common illnesses are frequent</t>
  </si>
  <si>
    <t>Govt School</t>
  </si>
  <si>
    <t>Cab rides for checkups</t>
  </si>
  <si>
    <t>Sum</t>
  </si>
  <si>
    <t>Pvt Mid-Range</t>
  </si>
  <si>
    <t>Pvt Premium</t>
  </si>
  <si>
    <t>CHILDCARE</t>
  </si>
  <si>
    <t>Pre-Primary — 2 years</t>
  </si>
  <si>
    <t>Options: Government / Private Mid-Range / Private Premium</t>
  </si>
  <si>
    <t>DELIVERY &amp; HOSPITAL</t>
  </si>
  <si>
    <t>Will both parents continue working?</t>
  </si>
  <si>
    <t>No</t>
  </si>
  <si>
    <t>Daycare / creche</t>
  </si>
  <si>
    <t>5,000 – 20,000</t>
  </si>
  <si>
    <t>Metro daycare: ₹8K-20K/month</t>
  </si>
  <si>
    <t>Yes or No</t>
  </si>
  <si>
    <t>Normal delivery — hospital charges</t>
  </si>
  <si>
    <t>Nanny / domestic help (baby-dedicated)</t>
  </si>
  <si>
    <t>5,000 – 18,000</t>
  </si>
  <si>
    <t>Full-time nanny in metros: ₹10K-18K</t>
  </si>
  <si>
    <t>Childcare support (first 3 years)</t>
  </si>
  <si>
    <t>Daycare + Nanny</t>
  </si>
  <si>
    <t>2,299 – 80,000</t>
  </si>
  <si>
    <t>NSO avg: ₹2,299 public / ₹37,630 private</t>
  </si>
  <si>
    <t>CLOTHING &amp; ESSENTIALS</t>
  </si>
  <si>
    <t>Options: Grandparents / Daycare + Nanny / Daycare Only / Nanny Only</t>
  </si>
  <si>
    <t>C-section delivery (if needed)</t>
  </si>
  <si>
    <t>20,000 – 2,00,000</t>
  </si>
  <si>
    <t>Emergency C-section adds significant cost</t>
  </si>
  <si>
    <t>Will you need to upgrade housing? (1BHK → 2BHK)</t>
  </si>
  <si>
    <t>Yes</t>
  </si>
  <si>
    <t>Hospital room charges (2-4 days)</t>
  </si>
  <si>
    <t>0 – 50,000</t>
  </si>
  <si>
    <t>Baby clothes (they outgrow fast)</t>
  </si>
  <si>
    <t>Semi-private to private room</t>
  </si>
  <si>
    <t>New sizes every 2-3 months</t>
  </si>
  <si>
    <t>Will coaching/tuition be needed?</t>
  </si>
  <si>
    <t>Anesthesia &amp; OT charges</t>
  </si>
  <si>
    <t>5,000 – 25,000</t>
  </si>
  <si>
    <t>Included in some packages</t>
  </si>
  <si>
    <t>Toys, books, learning aids</t>
  </si>
  <si>
    <t>Stimulation matters for development</t>
  </si>
  <si>
    <t>Newborn screening tests</t>
  </si>
  <si>
    <t>1,500 – 8,000</t>
  </si>
  <si>
    <t>INFLATION ASSUMPTIONS</t>
  </si>
  <si>
    <t>Hearing, metabolic screening</t>
  </si>
  <si>
    <t>Baby gear maintenance / replacement</t>
  </si>
  <si>
    <t>200 – 1,500</t>
  </si>
  <si>
    <t>Stroller repairs, new bottles, etc.</t>
  </si>
  <si>
    <t>General Inflation Rate</t>
  </si>
  <si>
    <t>Primary — 5 years</t>
  </si>
  <si>
    <t>POST-DELIVERY</t>
  </si>
  <si>
    <t>TOTAL MONTHLY COST (First 3 Years)</t>
  </si>
  <si>
    <t>Mother's recovery &amp; postpartum care</t>
  </si>
  <si>
    <t>Education Inflation Rate</t>
  </si>
  <si>
    <t>Middle School — 3 years</t>
  </si>
  <si>
    <t>Follow-up visits, medicines</t>
  </si>
  <si>
    <t>Healthcare Inflation Rate</t>
  </si>
  <si>
    <t>Baby's first pediatrician visits (first month)</t>
  </si>
  <si>
    <t>1,500 – 5,000</t>
  </si>
  <si>
    <t>2-3 visits in first month</t>
  </si>
  <si>
    <t>Source: Education inflation in India runs 8-12% historically. General CPI ~5-6%.</t>
  </si>
  <si>
    <t>Baby essentials — initial setup</t>
  </si>
  <si>
    <t>10,000 – 60,000</t>
  </si>
  <si>
    <t>Crib, car seat, stroller, clothes, bottles</t>
  </si>
  <si>
    <t>Secondary — 2 years</t>
  </si>
  <si>
    <t>TOTAL BIRTH &amp; PREGNANCY COST</t>
  </si>
  <si>
    <t>Higher Secondary — 2 years</t>
  </si>
  <si>
    <t>One-time Admission / Registration Fees</t>
  </si>
  <si>
    <t>Note: Insurance may cover some hospital costs. Check your corporate/personal health policy for maternity coverage.</t>
  </si>
  <si>
    <t>TOTAL ANNUAL COST</t>
  </si>
  <si>
    <t>TOTAL EDUCATION (3 to 18) — NO INFLATION</t>
  </si>
  <si>
    <t>TOTAL COST FOR 3 YEARS</t>
  </si>
  <si>
    <t>WARNING: These are TODAY's prices. With 10% education inflation, costs can DOUBLE in 7-8 years. See the Total Summary sheet for inflation-adjusted numbers.</t>
  </si>
  <si>
    <t>COACHING &amp; TUITION — THE SECOND SCHOOL</t>
  </si>
  <si>
    <t>Source: CMS 2025 — 27% of all students take private coaching. Urban: 30.7%. Cost rises sharply with class level.</t>
  </si>
  <si>
    <t>Stage</t>
  </si>
  <si>
    <t>Annual Cost (₹)</t>
  </si>
  <si>
    <t>Years</t>
  </si>
  <si>
    <t>Secondary (Class 9-10) — Board prep</t>
  </si>
  <si>
    <t>CMS avg: ₹4,183/yr. Board coaching: ₹3K-5K/month</t>
  </si>
  <si>
    <t>TOTAL COST OF RAISING A CHILD IN INDIA</t>
  </si>
  <si>
    <t>HEALTHCARE COST — BIRTH TO 18</t>
  </si>
  <si>
    <t>Higher Sec (11-12) — Stream coaching</t>
  </si>
  <si>
    <t>Healthcare Item</t>
  </si>
  <si>
    <t>CMS avg: ₹6,384/yr. Science stream: ₹5K-8K/month</t>
  </si>
  <si>
    <t>Total Estimated Cost (₹)</t>
  </si>
  <si>
    <t>This pulls from all other sheets. Column C = Today's prices. Column D = With inflation (rough estimate).</t>
  </si>
  <si>
    <t>Competitive Exam Prep (JEE/NEET/CLAT)</t>
  </si>
  <si>
    <t>Kota-style coaching: ₹1-2.5L/year</t>
  </si>
  <si>
    <t>Hobby/Skill Classes (coding, music, sports)</t>
  </si>
  <si>
    <t>VACCINATIONS (0-5 years)</t>
  </si>
  <si>
    <t>Cost Bucket</t>
  </si>
  <si>
    <t>₹2,000/month average across years</t>
  </si>
  <si>
    <t>Government UIP vaccines (free)</t>
  </si>
  <si>
    <t>At Today's Prices (₹)</t>
  </si>
  <si>
    <t>Inflation-Adjusted Estimate (₹)</t>
  </si>
  <si>
    <t>Assumptions</t>
  </si>
  <si>
    <t>TOTAL COACHING COST (No Inflation)</t>
  </si>
  <si>
    <t>1. BIRTH &amp; PREGNANCY</t>
  </si>
  <si>
    <t>BCG, OPV, Pentavalent, MR — free at govt centres</t>
  </si>
  <si>
    <t>Private vaccination (IAP full schedule)</t>
  </si>
  <si>
    <t>₹20,000-50,000 total. Painless options cost more</t>
  </si>
  <si>
    <t>Optional vaccines (Varicella, Hep A, HPV)</t>
  </si>
  <si>
    <t>Not in UIP but recommended by pediatricians</t>
  </si>
  <si>
    <t>REGULAR HEALTHCARE (0-18 years)</t>
  </si>
  <si>
    <t>Pediatrician visits — year 1 (12 visits)</t>
  </si>
  <si>
    <t>Earlier, parents paid for school. Now many parents pay for school AND then pay again because school doesn't feel enough.</t>
  </si>
  <si>
    <t>₹1,000-2,500 per visit</t>
  </si>
  <si>
    <t>Pediatrician visits — year 2-5 (6/year × 4 yrs)</t>
  </si>
  <si>
    <t>Reducing frequency as child grows</t>
  </si>
  <si>
    <t>Doctor visits — age 6-18 (3/year × 13 yrs)</t>
  </si>
  <si>
    <t>One-time cost — no inflation needed</t>
  </si>
  <si>
    <t>₹1,500/visit average</t>
  </si>
  <si>
    <t>Medicines &amp; OTC supplies (18 years)</t>
  </si>
  <si>
    <t>~₹500/month average over 18 years</t>
  </si>
  <si>
    <t>2. FIRST 3 YEARS (0-3)</t>
  </si>
  <si>
    <t>Dental care (age 5-18)</t>
  </si>
  <si>
    <t>Braces alone: ₹30,000-80,000</t>
  </si>
  <si>
    <t>Eye care / spectacles</t>
  </si>
  <si>
    <t>Screen time = early specs for many kids</t>
  </si>
  <si>
    <t>INSURANCE &amp; EMERGENCY</t>
  </si>
  <si>
    <t>3 years of 6% avg inflation</t>
  </si>
  <si>
    <t>3. EDUCATION — Govt School (15 yrs)</t>
  </si>
  <si>
    <t>Health insurance premium — child add-on (18 yrs)</t>
  </si>
  <si>
    <t>~₹10,000/year additional premium</t>
  </si>
  <si>
    <t>Emergency medical fund (contingency)</t>
  </si>
  <si>
    <t>NICU, accidents, surgeries — hope you don't need it</t>
  </si>
  <si>
    <t>Hospitalization (1-2 episodes in 18 yrs)</t>
  </si>
  <si>
    <t>Dengue, fractures, infections — common</t>
  </si>
  <si>
    <t>15 yrs × 10% education inflation (compounded ~2.16x)</t>
  </si>
  <si>
    <t>4. EDUCATION — Pvt Mid-Range (15 yrs)</t>
  </si>
  <si>
    <t>Same inflation multiplier</t>
  </si>
  <si>
    <t>5. EDUCATION — Pvt Premium (15 yrs)</t>
  </si>
  <si>
    <t>TOTAL HEALTHCARE COST (0-18 years)</t>
  </si>
  <si>
    <t>6. COACHING &amp; TUITION</t>
  </si>
  <si>
    <t>~10 years avg, 8% inflation</t>
  </si>
  <si>
    <t>7. HEALTHCARE (0-18 years)</t>
  </si>
  <si>
    <t>18 yrs × 8% health inflation (spread)</t>
  </si>
  <si>
    <t>8 EMERGENCY BUFFER</t>
  </si>
  <si>
    <t>GRAND TOTAL — GOVERNMENT SCHOOL PATH</t>
  </si>
  <si>
    <t>Total (Birth + 3 Yrs + Govt School + Coaching + Health + Buffer)</t>
  </si>
  <si>
    <t>GRAND TOTAL — PRIVATE MID-RANGE SCHOOL PATH</t>
  </si>
  <si>
    <t>Total (Birth + 3 Yrs + Pvt Mid + Coaching + Health + Buffer)</t>
  </si>
  <si>
    <t>GRAND TOTAL — PRIVATE PREMIUM SCHOOL PATH</t>
  </si>
  <si>
    <t>Total (Birth + 3 Yrs + Pvt Premium + Coaching + Health + Buffer)</t>
  </si>
  <si>
    <t>THE BABY DECISION FRAMEWORK</t>
  </si>
  <si>
    <t>Question 1: Do we want a child, or do we want to satisfy family expectations?</t>
  </si>
  <si>
    <t>Question 2: Are we delaying because of fear, or because our system is genuinely not ready?</t>
  </si>
  <si>
    <t>Question 3: If we have a child, whose life changes the most?</t>
  </si>
  <si>
    <t>Plan these 5 systems BEFORE having a child:</t>
  </si>
  <si>
    <t xml:space="preserve">  ✓ Care System — Who takes care of the child?</t>
  </si>
  <si>
    <t xml:space="preserve">  ✓ Money System — Can we afford it without stress?</t>
  </si>
  <si>
    <t xml:space="preserve">  ✓ Career System — Whose career adjusts, and how?</t>
  </si>
  <si>
    <t xml:space="preserve">  ✓ Emergency System — What if something goes wrong?</t>
  </si>
  <si>
    <t xml:space="preserve">  ✓ Support System — Family, friends, or paid help?</t>
  </si>
  <si>
    <t>"Having a child is not a bad financial decision. But pretending that love alone will handle the cost is dangerous."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</si>
</sst>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,##0"/>
    <numFmt numFmtId="165" formatCode="[&gt;9999999]##\,##\,##\,##0;[&gt;99999]##\,##\,##0;##,##0"/>
    <numFmt numFmtId="166" formatCode="0.0%"/>
  </numFmts>
  <fonts count="3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1.0"/>
      <color rgb="FF000000"/>
      <name val="Arial"/>
    </font>
    <font>
      <b/>
      <sz val="20.0"/>
      <color rgb="FFFFFFFF"/>
      <name val="Montserrat"/>
    </font>
    <font>
      <color theme="1"/>
      <name val="Arial"/>
      <scheme val="minor"/>
    </font>
    <font>
      <sz val="11.0"/>
      <color theme="1"/>
      <name val="Montserrat"/>
    </font>
    <font>
      <i/>
      <sz val="10.0"/>
      <color rgb="FF808080"/>
      <name val="Montserrat"/>
    </font>
    <font>
      <color theme="1"/>
      <name val="Montserrat"/>
    </font>
    <font>
      <b/>
      <sz val="13.0"/>
      <color rgb="FFFFFFFF"/>
      <name val="Montserrat"/>
    </font>
    <font>
      <b/>
      <sz val="16.0"/>
      <color rgb="FFFFFFFF"/>
      <name val="Montserrat"/>
    </font>
    <font/>
    <font>
      <b/>
      <sz val="11.0"/>
      <color rgb="FF000000"/>
      <name val="Montserrat"/>
    </font>
    <font>
      <b/>
      <sz val="12.0"/>
      <color rgb="FFFFFFFF"/>
      <name val="Montserrat"/>
    </font>
    <font>
      <sz val="11.0"/>
      <color rgb="FF0000FF"/>
      <name val="Montserrat"/>
    </font>
    <font>
      <b/>
      <sz val="13.0"/>
      <color rgb="FF434343"/>
      <name val="Montserrat"/>
    </font>
    <font>
      <sz val="11.0"/>
      <color rgb="FF000000"/>
      <name val="Montserrat"/>
    </font>
    <font>
      <i/>
      <sz val="9.0"/>
      <color rgb="FF808080"/>
      <name val="Montserrat"/>
    </font>
    <font>
      <b/>
      <sz val="11.0"/>
      <color rgb="FFFFFFFF"/>
      <name val="Montserrat"/>
    </font>
    <font>
      <b/>
      <sz val="16.0"/>
      <color rgb="FFFF0000"/>
      <name val="Montserrat"/>
    </font>
    <font>
      <sz val="16.0"/>
      <color rgb="FF000000"/>
      <name val="Montserrat"/>
    </font>
    <font>
      <sz val="20.0"/>
      <color theme="1"/>
      <name val="Calibri"/>
    </font>
    <font>
      <sz val="20.0"/>
      <color rgb="FFFFFFFF"/>
      <name val="Montserrat"/>
    </font>
    <font>
      <sz val="20.0"/>
      <color theme="1"/>
      <name val="Arial"/>
      <scheme val="minor"/>
    </font>
    <font>
      <b/>
      <sz val="18.0"/>
      <color rgb="FFC0392B"/>
      <name val="Arial"/>
    </font>
    <font>
      <i/>
      <sz val="9.0"/>
      <color rgb="FF808080"/>
      <name val="Arial"/>
    </font>
    <font>
      <b/>
      <sz val="12.0"/>
      <color rgb="FFFFFFFF"/>
      <name val="Arial"/>
    </font>
    <font>
      <b/>
      <sz val="13.0"/>
      <color rgb="FF1F4E79"/>
      <name val="Arial"/>
    </font>
    <font>
      <b/>
      <sz val="14.0"/>
      <color rgb="FFFF0000"/>
      <name val="Arial"/>
    </font>
    <font>
      <b/>
      <i/>
      <sz val="12.0"/>
      <color rgb="FFC0392B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27AE60"/>
        <bgColor rgb="FF27AE6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AF4E5"/>
        <bgColor rgb="FFDAF4E5"/>
      </patternFill>
    </fill>
    <fill>
      <patternFill patternType="solid">
        <fgColor rgb="FFF4CCCC"/>
        <bgColor rgb="FFF4CCCC"/>
      </patternFill>
    </fill>
    <fill>
      <patternFill patternType="solid">
        <fgColor rgb="FFFADBD8"/>
        <bgColor rgb="FFFADBD8"/>
      </patternFill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2" fontId="4" numFmtId="0" xfId="0" applyAlignment="1" applyFill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8" numFmtId="0" xfId="0" applyFont="1"/>
    <xf borderId="1" fillId="3" fontId="9" numFmtId="0" xfId="0" applyAlignment="1" applyBorder="1" applyFill="1" applyFont="1">
      <alignment shrinkToFit="0" vertical="center" wrapText="0"/>
    </xf>
    <xf borderId="0" fillId="2" fontId="10" numFmtId="0" xfId="0" applyAlignment="1" applyFill="1" applyFont="1">
      <alignment shrinkToFit="0" vertical="center" wrapText="0"/>
    </xf>
    <xf borderId="2" fillId="0" fontId="11" numFmtId="0" xfId="0" applyBorder="1" applyFont="1"/>
    <xf borderId="3" fillId="0" fontId="11" numFmtId="0" xfId="0" applyBorder="1" applyFont="1"/>
    <xf borderId="0" fillId="0" fontId="8" numFmtId="0" xfId="0" applyAlignment="1" applyFont="1">
      <alignment vertical="center"/>
    </xf>
    <xf borderId="4" fillId="0" fontId="12" numFmtId="0" xfId="0" applyAlignment="1" applyBorder="1" applyFont="1">
      <alignment horizontal="left" shrinkToFit="0" vertical="center" wrapText="0"/>
    </xf>
    <xf borderId="4" fillId="3" fontId="13" numFmtId="0" xfId="0" applyAlignment="1" applyBorder="1" applyFill="1" applyFont="1">
      <alignment horizontal="left" shrinkToFit="0" vertical="center" wrapText="1"/>
    </xf>
    <xf borderId="4" fillId="4" fontId="14" numFmtId="49" xfId="0" applyAlignment="1" applyBorder="1" applyFill="1" applyFont="1" applyNumberFormat="1">
      <alignment horizontal="right" readingOrder="0" shrinkToFit="0" vertical="center" wrapText="0"/>
    </xf>
    <xf borderId="4" fillId="3" fontId="13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left" shrinkToFit="0" vertical="center" wrapText="0"/>
    </xf>
    <xf borderId="1" fillId="6" fontId="15" numFmtId="0" xfId="0" applyAlignment="1" applyBorder="1" applyFill="1" applyFont="1">
      <alignment shrinkToFit="0" vertical="center" wrapText="0"/>
    </xf>
    <xf borderId="4" fillId="4" fontId="14" numFmtId="164" xfId="0" applyAlignment="1" applyBorder="1" applyFill="1" applyFont="1" applyNumberFormat="1">
      <alignment horizontal="right" shrinkToFit="0" vertical="center" wrapText="0"/>
    </xf>
    <xf borderId="4" fillId="0" fontId="16" numFmtId="165" xfId="0" applyAlignment="1" applyBorder="1" applyFont="1" applyNumberFormat="1">
      <alignment horizontal="left" shrinkToFit="0" vertical="center" wrapText="0"/>
    </xf>
    <xf borderId="4" fillId="4" fontId="14" numFmtId="165" xfId="0" applyAlignment="1" applyBorder="1" applyFill="1" applyFont="1" applyNumberFormat="1">
      <alignment horizontal="right" shrinkToFit="0" vertical="center" wrapText="0"/>
    </xf>
    <xf borderId="4" fillId="0" fontId="14" numFmtId="165" xfId="0" applyAlignment="1" applyBorder="1" applyFont="1" applyNumberFormat="1">
      <alignment horizontal="right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4" fillId="0" fontId="7" numFmtId="165" xfId="0" applyAlignment="1" applyBorder="1" applyFont="1" applyNumberFormat="1">
      <alignment shrinkToFit="0" vertical="center" wrapText="0"/>
    </xf>
    <xf borderId="4" fillId="5" fontId="16" numFmtId="165" xfId="0" applyAlignment="1" applyBorder="1" applyFill="1" applyFont="1" applyNumberFormat="1">
      <alignment horizontal="left" shrinkToFit="0" vertical="center" wrapText="0"/>
    </xf>
    <xf borderId="0" fillId="0" fontId="6" numFmtId="165" xfId="0" applyAlignment="1" applyFont="1" applyNumberFormat="1">
      <alignment shrinkToFit="0" vertical="center" wrapText="0"/>
    </xf>
    <xf borderId="1" fillId="6" fontId="15" numFmtId="165" xfId="0" applyAlignment="1" applyBorder="1" applyFill="1" applyFont="1" applyNumberFormat="1">
      <alignment shrinkToFit="0" vertical="center" wrapText="0"/>
    </xf>
    <xf borderId="4" fillId="0" fontId="16" numFmtId="164" xfId="0" applyAlignment="1" applyBorder="1" applyFont="1" applyNumberFormat="1">
      <alignment horizontal="right" shrinkToFit="0" vertical="center" wrapText="0"/>
    </xf>
    <xf borderId="4" fillId="4" fontId="14" numFmtId="165" xfId="0" applyAlignment="1" applyBorder="1" applyFill="1" applyFont="1" applyNumberFormat="1">
      <alignment horizontal="right"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4" fillId="4" fontId="14" numFmtId="49" xfId="0" applyAlignment="1" applyBorder="1" applyFill="1" applyFont="1" applyNumberFormat="1">
      <alignment horizontal="right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4" fillId="0" fontId="14" numFmtId="165" xfId="0" applyAlignment="1" applyBorder="1" applyFont="1" applyNumberFormat="1">
      <alignment horizontal="right" readingOrder="0" shrinkToFit="0" vertical="center" wrapText="0"/>
    </xf>
    <xf borderId="4" fillId="0" fontId="16" numFmtId="165" xfId="0" applyAlignment="1" applyBorder="1" applyFont="1" applyNumberFormat="1">
      <alignment horizontal="right" shrinkToFit="0" vertical="center" wrapText="0"/>
    </xf>
    <xf borderId="4" fillId="4" fontId="14" numFmtId="166" xfId="0" applyAlignment="1" applyBorder="1" applyFill="1" applyFont="1" applyNumberFormat="1">
      <alignment horizontal="right" shrinkToFit="0" vertical="center" wrapText="0"/>
    </xf>
    <xf borderId="4" fillId="2" fontId="18" numFmtId="165" xfId="0" applyAlignment="1" applyBorder="1" applyFill="1" applyFont="1" applyNumberFormat="1">
      <alignment horizontal="left" shrinkToFit="0" vertical="center" wrapText="0"/>
    </xf>
    <xf borderId="4" fillId="7" fontId="19" numFmtId="165" xfId="0" applyAlignment="1" applyBorder="1" applyFill="1" applyFont="1" applyNumberFormat="1">
      <alignment horizontal="right" shrinkToFit="0" vertical="center" wrapText="0"/>
    </xf>
    <xf borderId="4" fillId="0" fontId="20" numFmtId="165" xfId="0" applyAlignment="1" applyBorder="1" applyFont="1" applyNumberFormat="1">
      <alignment horizontal="right" shrinkToFit="0" vertical="center" wrapText="0"/>
    </xf>
    <xf borderId="4" fillId="8" fontId="19" numFmtId="165" xfId="0" applyAlignment="1" applyBorder="1" applyFill="1" applyFont="1" applyNumberFormat="1">
      <alignment horizontal="right" shrinkToFit="0" vertical="center" wrapText="0"/>
    </xf>
    <xf borderId="0" fillId="0" fontId="21" numFmtId="0" xfId="0" applyAlignment="1" applyFont="1">
      <alignment shrinkToFit="0" vertical="center" wrapText="0"/>
    </xf>
    <xf borderId="0" fillId="2" fontId="22" numFmtId="0" xfId="0" applyAlignment="1" applyFill="1" applyFont="1">
      <alignment shrinkToFit="0" vertical="center" wrapText="0"/>
    </xf>
    <xf borderId="0" fillId="0" fontId="23" numFmtId="0" xfId="0" applyAlignment="1" applyFont="1">
      <alignment vertical="center"/>
    </xf>
    <xf borderId="4" fillId="0" fontId="16" numFmtId="0" xfId="0" applyAlignment="1" applyBorder="1" applyFont="1">
      <alignment horizontal="left" shrinkToFit="0" vertical="center" wrapText="0"/>
    </xf>
    <xf borderId="4" fillId="4" fontId="14" numFmtId="3" xfId="0" applyAlignment="1" applyBorder="1" applyFill="1" applyFont="1" applyNumberFormat="1">
      <alignment horizontal="right" shrinkToFit="0" vertical="center" wrapText="0"/>
    </xf>
    <xf borderId="4" fillId="0" fontId="7" numFmtId="0" xfId="0" applyAlignment="1" applyBorder="1" applyFont="1">
      <alignment shrinkToFit="0" vertical="center" wrapText="0"/>
    </xf>
    <xf borderId="4" fillId="5" fontId="16" numFmtId="0" xfId="0" applyAlignment="1" applyBorder="1" applyFill="1" applyFont="1">
      <alignment horizontal="left" shrinkToFit="0" vertical="center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4" fillId="9" fontId="26" numFmtId="0" xfId="0" applyAlignment="1" applyBorder="1" applyFill="1" applyFont="1">
      <alignment horizontal="center" shrinkToFit="0" vertical="bottom" wrapText="1"/>
    </xf>
    <xf borderId="4" fillId="2" fontId="18" numFmtId="0" xfId="0" applyAlignment="1" applyBorder="1" applyFill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shrinkToFit="0" vertical="bottom" wrapText="0"/>
    </xf>
    <xf borderId="4" fillId="0" fontId="2" numFmtId="164" xfId="0" applyAlignment="1" applyBorder="1" applyFont="1" applyNumberFormat="1">
      <alignment horizontal="right" shrinkToFit="0" vertical="bottom" wrapText="0"/>
    </xf>
    <xf borderId="4" fillId="0" fontId="25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1" fillId="10" fontId="27" numFmtId="0" xfId="0" applyAlignment="1" applyBorder="1" applyFill="1" applyFont="1">
      <alignment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4" fillId="8" fontId="28" numFmtId="164" xfId="0" applyAlignment="1" applyBorder="1" applyFill="1" applyFont="1" applyNumberFormat="1">
      <alignment horizontal="right" shrinkToFit="0" vertical="bottom" wrapText="0"/>
    </xf>
    <xf borderId="0" fillId="0" fontId="2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70.0"/>
    <col customWidth="1" min="3" max="26" width="7.63"/>
  </cols>
  <sheetData>
    <row r="1">
      <c r="A1" s="1"/>
      <c r="B1" s="1"/>
    </row>
    <row r="2" ht="15.0" customHeight="1">
      <c r="A2" s="1"/>
      <c r="B2" s="2"/>
    </row>
    <row r="3" ht="15.0" customHeight="1">
      <c r="A3" s="1"/>
      <c r="B3" s="3" t="s">
        <v>0</v>
      </c>
    </row>
    <row r="4" ht="15.0" customHeight="1">
      <c r="A4" s="1"/>
      <c r="B4" s="2" t="s">
        <v>1</v>
      </c>
    </row>
    <row r="5" ht="15.0" customHeight="1">
      <c r="A5" s="1"/>
      <c r="B5" s="2" t="s">
        <v>2</v>
      </c>
    </row>
    <row r="6" ht="15.0" customHeight="1">
      <c r="A6" s="1"/>
      <c r="B6" s="2" t="s">
        <v>3</v>
      </c>
    </row>
    <row r="7" ht="15.0" customHeight="1">
      <c r="A7" s="1"/>
      <c r="B7" s="2" t="s">
        <v>4</v>
      </c>
    </row>
    <row r="8" ht="15.0" customHeight="1">
      <c r="A8" s="1"/>
      <c r="B8" s="2" t="s">
        <v>5</v>
      </c>
    </row>
    <row r="9" ht="15.0" customHeight="1">
      <c r="A9" s="1"/>
      <c r="B9" s="2" t="s">
        <v>6</v>
      </c>
    </row>
    <row r="10" ht="15.0" customHeight="1">
      <c r="A10" s="1"/>
      <c r="B10" s="2" t="s">
        <v>7</v>
      </c>
    </row>
    <row r="11" ht="15.0" customHeight="1">
      <c r="A11" s="1"/>
      <c r="B11" s="2" t="s">
        <v>8</v>
      </c>
    </row>
    <row r="12" ht="15.0" customHeight="1">
      <c r="A12" s="1"/>
      <c r="B12" s="2"/>
    </row>
    <row r="13" ht="15.0" customHeight="1">
      <c r="A13" s="1"/>
      <c r="B13" s="3" t="s">
        <v>9</v>
      </c>
    </row>
    <row r="14" ht="15.0" customHeight="1">
      <c r="A14" s="1"/>
      <c r="B14" s="2" t="s">
        <v>10</v>
      </c>
    </row>
    <row r="15" ht="15.0" customHeight="1">
      <c r="A15" s="1"/>
      <c r="B15" s="2" t="s">
        <v>11</v>
      </c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3.75"/>
    <col customWidth="1" min="3" max="3" width="21.88"/>
    <col customWidth="1" min="4" max="4" width="40.38"/>
    <col customWidth="1" min="5" max="26" width="7.63"/>
  </cols>
  <sheetData>
    <row r="1">
      <c r="A1" s="1"/>
      <c r="B1" s="1"/>
      <c r="C1" s="1"/>
      <c r="D1" s="1"/>
    </row>
    <row r="2" ht="45.0" customHeight="1">
      <c r="A2" s="4"/>
      <c r="B2" s="5" t="s">
        <v>12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7"/>
      <c r="B3" s="8" t="s">
        <v>13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7"/>
      <c r="B4" s="7"/>
      <c r="C4" s="7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7"/>
      <c r="B5" s="11" t="s">
        <v>15</v>
      </c>
      <c r="C5" s="13"/>
      <c r="D5" s="1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7"/>
      <c r="B6" s="16" t="s">
        <v>21</v>
      </c>
      <c r="C6" s="18" t="s">
        <v>24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7"/>
      <c r="B7" s="7"/>
      <c r="C7" s="8" t="s">
        <v>28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7"/>
      <c r="B8" s="20" t="s">
        <v>36</v>
      </c>
      <c r="C8" s="22">
        <v>100000.0</v>
      </c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7"/>
      <c r="B9" s="16" t="s">
        <v>41</v>
      </c>
      <c r="C9" s="22">
        <v>80000.0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7"/>
      <c r="B10" s="20" t="s">
        <v>44</v>
      </c>
      <c r="C10" s="22">
        <v>25000.0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7"/>
      <c r="B11" s="16" t="s">
        <v>45</v>
      </c>
      <c r="C11" s="31">
        <f>(C8+C9)*12</f>
        <v>2160000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7"/>
      <c r="B13" s="11" t="s">
        <v>88</v>
      </c>
      <c r="C13" s="13"/>
      <c r="D13" s="1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7"/>
      <c r="B14" s="16" t="s">
        <v>100</v>
      </c>
      <c r="C14" s="18" t="s">
        <v>102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7"/>
      <c r="B15" s="7"/>
      <c r="C15" s="8" t="s">
        <v>110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7"/>
      <c r="B16" s="20" t="s">
        <v>118</v>
      </c>
      <c r="C16" s="34" t="s">
        <v>119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7"/>
      <c r="B17" s="7"/>
      <c r="C17" s="8" t="s">
        <v>132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7"/>
      <c r="B18" s="16" t="s">
        <v>134</v>
      </c>
      <c r="C18" s="34" t="s">
        <v>135</v>
      </c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7"/>
      <c r="B19" s="7"/>
      <c r="C19" s="36" t="s">
        <v>139</v>
      </c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7"/>
      <c r="B20" s="20" t="s">
        <v>144</v>
      </c>
      <c r="C20" s="34" t="s">
        <v>145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7"/>
      <c r="B21" s="7"/>
      <c r="C21" s="8" t="s">
        <v>149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7"/>
      <c r="B22" s="16" t="s">
        <v>153</v>
      </c>
      <c r="C22" s="34" t="s">
        <v>154</v>
      </c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7"/>
      <c r="B23" s="20" t="s">
        <v>160</v>
      </c>
      <c r="C23" s="34" t="s">
        <v>154</v>
      </c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7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7"/>
      <c r="B25" s="11" t="s">
        <v>168</v>
      </c>
      <c r="C25" s="13"/>
      <c r="D25" s="1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7"/>
      <c r="B26" s="16" t="s">
        <v>173</v>
      </c>
      <c r="C26" s="39">
        <v>0.06</v>
      </c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7"/>
      <c r="B27" s="20" t="s">
        <v>178</v>
      </c>
      <c r="C27" s="39">
        <v>0.1</v>
      </c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7"/>
      <c r="B28" s="16" t="s">
        <v>181</v>
      </c>
      <c r="C28" s="39">
        <v>0.08</v>
      </c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7"/>
      <c r="B29" s="8" t="s">
        <v>185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mergeCells count="9">
    <mergeCell ref="B25:D25"/>
    <mergeCell ref="B29:D29"/>
    <mergeCell ref="B2:D2"/>
    <mergeCell ref="B3:D3"/>
    <mergeCell ref="B5:D5"/>
    <mergeCell ref="C7:D7"/>
    <mergeCell ref="B13:D13"/>
    <mergeCell ref="C17:D17"/>
    <mergeCell ref="C21:D2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8.38"/>
    <col customWidth="1" min="3" max="4" width="19.25"/>
    <col customWidth="1" min="5" max="5" width="42.63"/>
    <col customWidth="1" min="6" max="26" width="7.63"/>
  </cols>
  <sheetData>
    <row r="1">
      <c r="A1" s="1"/>
      <c r="B1" s="1"/>
      <c r="C1" s="1"/>
      <c r="D1" s="1"/>
      <c r="E1" s="1"/>
    </row>
    <row r="2" ht="45.0" customHeight="1">
      <c r="A2" s="9"/>
      <c r="B2" s="5" t="s">
        <v>16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75" customHeight="1">
      <c r="A3" s="7"/>
      <c r="B3" s="8" t="s">
        <v>18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75" customHeight="1">
      <c r="A4" s="7"/>
      <c r="B4" s="7"/>
      <c r="C4" s="7"/>
      <c r="D4" s="7"/>
      <c r="E4" s="7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7"/>
      <c r="B5" s="17" t="s">
        <v>22</v>
      </c>
      <c r="C5" s="19" t="s">
        <v>26</v>
      </c>
      <c r="D5" s="19" t="s">
        <v>30</v>
      </c>
      <c r="E5" s="19" t="s">
        <v>31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8.75" customHeight="1">
      <c r="A6" s="7"/>
      <c r="B6" s="21" t="s">
        <v>38</v>
      </c>
      <c r="C6" s="13"/>
      <c r="D6" s="13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7"/>
      <c r="B7" s="23" t="s">
        <v>42</v>
      </c>
      <c r="C7" s="25">
        <v>5000.0</v>
      </c>
      <c r="D7" s="26" t="s">
        <v>46</v>
      </c>
      <c r="E7" s="27" t="s">
        <v>49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7"/>
      <c r="B8" s="28" t="s">
        <v>52</v>
      </c>
      <c r="C8" s="25">
        <v>9000.0</v>
      </c>
      <c r="D8" s="26" t="s">
        <v>55</v>
      </c>
      <c r="E8" s="27" t="s">
        <v>56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7"/>
      <c r="B9" s="29"/>
      <c r="C9" s="29"/>
      <c r="D9" s="29"/>
      <c r="E9" s="29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7"/>
      <c r="B10" s="30" t="s">
        <v>64</v>
      </c>
      <c r="C10" s="13"/>
      <c r="D10" s="13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7"/>
      <c r="B11" s="23" t="s">
        <v>71</v>
      </c>
      <c r="C11" s="25">
        <v>15000.0</v>
      </c>
      <c r="D11" s="26" t="s">
        <v>72</v>
      </c>
      <c r="E11" s="27" t="s">
        <v>75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8.75" customHeight="1">
      <c r="A12" s="7"/>
      <c r="B12" s="28" t="s">
        <v>79</v>
      </c>
      <c r="C12" s="25">
        <v>8000.0</v>
      </c>
      <c r="D12" s="26" t="s">
        <v>46</v>
      </c>
      <c r="E12" s="27" t="s">
        <v>81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7"/>
      <c r="B13" s="23" t="s">
        <v>84</v>
      </c>
      <c r="C13" s="25">
        <v>8000.0</v>
      </c>
      <c r="D13" s="26" t="s">
        <v>85</v>
      </c>
      <c r="E13" s="27" t="s">
        <v>86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8.75" customHeight="1">
      <c r="A14" s="7"/>
      <c r="B14" s="28" t="s">
        <v>90</v>
      </c>
      <c r="C14" s="25">
        <v>5000.0</v>
      </c>
      <c r="D14" s="26" t="s">
        <v>93</v>
      </c>
      <c r="E14" s="27" t="s">
        <v>94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8.75" customHeight="1">
      <c r="A15" s="7"/>
      <c r="B15" s="23" t="s">
        <v>97</v>
      </c>
      <c r="C15" s="25">
        <v>8000.0</v>
      </c>
      <c r="D15" s="26" t="s">
        <v>46</v>
      </c>
      <c r="E15" s="27" t="s">
        <v>99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8.75" customHeight="1">
      <c r="A16" s="7"/>
      <c r="B16" s="28" t="s">
        <v>106</v>
      </c>
      <c r="C16" s="25">
        <v>5000.0</v>
      </c>
      <c r="D16" s="26" t="s">
        <v>108</v>
      </c>
      <c r="E16" s="27" t="s">
        <v>109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8.75" customHeight="1">
      <c r="A17" s="7"/>
      <c r="B17" s="23" t="s">
        <v>114</v>
      </c>
      <c r="C17" s="25">
        <v>27000.0</v>
      </c>
      <c r="D17" s="26" t="s">
        <v>116</v>
      </c>
      <c r="E17" s="27" t="s">
        <v>117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8.75" customHeight="1">
      <c r="A18" s="7"/>
      <c r="B18" s="28" t="s">
        <v>121</v>
      </c>
      <c r="C18" s="24">
        <v>5000.0</v>
      </c>
      <c r="D18" s="26" t="s">
        <v>93</v>
      </c>
      <c r="E18" s="27" t="s">
        <v>126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7"/>
      <c r="B19" s="35" t="s">
        <v>127</v>
      </c>
      <c r="C19" s="29"/>
      <c r="D19" s="29"/>
      <c r="E19" s="29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8.75" customHeight="1">
      <c r="A20" s="7"/>
      <c r="B20" s="30" t="s">
        <v>133</v>
      </c>
      <c r="C20" s="13"/>
      <c r="D20" s="13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8.75" customHeight="1">
      <c r="A21" s="7"/>
      <c r="B21" s="23" t="s">
        <v>140</v>
      </c>
      <c r="C21" s="37">
        <v>60000.0</v>
      </c>
      <c r="D21" s="26" t="s">
        <v>146</v>
      </c>
      <c r="E21" s="27" t="s">
        <v>147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8.75" customHeight="1">
      <c r="A22" s="7"/>
      <c r="B22" s="28" t="s">
        <v>150</v>
      </c>
      <c r="C22" s="25">
        <v>80000.0</v>
      </c>
      <c r="D22" s="26" t="s">
        <v>151</v>
      </c>
      <c r="E22" s="27" t="s">
        <v>152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8.75" customHeight="1">
      <c r="A23" s="7"/>
      <c r="B23" s="23" t="s">
        <v>155</v>
      </c>
      <c r="C23" s="37">
        <v>30000.0</v>
      </c>
      <c r="D23" s="26" t="s">
        <v>156</v>
      </c>
      <c r="E23" s="27" t="s">
        <v>158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8.75" customHeight="1">
      <c r="A24" s="7"/>
      <c r="B24" s="28" t="s">
        <v>161</v>
      </c>
      <c r="C24" s="25">
        <v>10000.0</v>
      </c>
      <c r="D24" s="26" t="s">
        <v>162</v>
      </c>
      <c r="E24" s="27" t="s">
        <v>163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8.75" customHeight="1">
      <c r="A25" s="7"/>
      <c r="B25" s="23" t="s">
        <v>166</v>
      </c>
      <c r="C25" s="37">
        <v>4500.0</v>
      </c>
      <c r="D25" s="26" t="s">
        <v>167</v>
      </c>
      <c r="E25" s="27" t="s">
        <v>169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8.75" customHeight="1">
      <c r="A26" s="7"/>
      <c r="B26" s="29"/>
      <c r="C26" s="29"/>
      <c r="D26" s="29"/>
      <c r="E26" s="29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8.75" customHeight="1">
      <c r="A27" s="7"/>
      <c r="B27" s="30" t="s">
        <v>175</v>
      </c>
      <c r="C27" s="13"/>
      <c r="D27" s="13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8.75" customHeight="1">
      <c r="A28" s="7"/>
      <c r="B28" s="23" t="s">
        <v>177</v>
      </c>
      <c r="C28" s="25">
        <v>10000.0</v>
      </c>
      <c r="D28" s="26" t="s">
        <v>137</v>
      </c>
      <c r="E28" s="27" t="s">
        <v>180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75" customHeight="1">
      <c r="A29" s="7"/>
      <c r="B29" s="28" t="s">
        <v>182</v>
      </c>
      <c r="C29" s="25">
        <v>3000.0</v>
      </c>
      <c r="D29" s="26" t="s">
        <v>183</v>
      </c>
      <c r="E29" s="27" t="s">
        <v>184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75" customHeight="1">
      <c r="A30" s="7"/>
      <c r="B30" s="23" t="s">
        <v>186</v>
      </c>
      <c r="C30" s="25">
        <v>25000.0</v>
      </c>
      <c r="D30" s="26" t="s">
        <v>187</v>
      </c>
      <c r="E30" s="27" t="s">
        <v>188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8.75" customHeight="1">
      <c r="A31" s="7"/>
      <c r="B31" s="29"/>
      <c r="C31" s="29"/>
      <c r="D31" s="29"/>
      <c r="E31" s="29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6.25" customHeight="1">
      <c r="A32" s="7"/>
      <c r="B32" s="40" t="s">
        <v>190</v>
      </c>
      <c r="C32" s="41">
        <f>SUM(C6:C31)</f>
        <v>317500</v>
      </c>
      <c r="D32" s="29"/>
      <c r="E32" s="29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8.75" customHeight="1">
      <c r="A33" s="7"/>
      <c r="B33" s="8" t="s">
        <v>193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</sheetData>
  <mergeCells count="7">
    <mergeCell ref="B2:E2"/>
    <mergeCell ref="B3:E3"/>
    <mergeCell ref="B6:E6"/>
    <mergeCell ref="B10:E10"/>
    <mergeCell ref="B20:E20"/>
    <mergeCell ref="B27:E27"/>
    <mergeCell ref="B33:E3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9C12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9.38"/>
    <col customWidth="1" min="3" max="4" width="28.88"/>
    <col customWidth="1" min="5" max="5" width="42.75"/>
    <col customWidth="1" min="6" max="26" width="7.63"/>
  </cols>
  <sheetData>
    <row r="1">
      <c r="A1" s="1"/>
      <c r="B1" s="1"/>
      <c r="C1" s="1"/>
      <c r="D1" s="1"/>
      <c r="E1" s="1"/>
    </row>
    <row r="2" ht="45.0" customHeight="1">
      <c r="A2" s="9"/>
      <c r="B2" s="12" t="s">
        <v>17</v>
      </c>
    </row>
    <row r="3" ht="18.75" customHeight="1">
      <c r="A3" s="7"/>
      <c r="B3" s="8" t="s">
        <v>19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7"/>
      <c r="B4" s="7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7"/>
      <c r="B5" s="17" t="s">
        <v>25</v>
      </c>
      <c r="C5" s="19" t="s">
        <v>27</v>
      </c>
      <c r="D5" s="19" t="s">
        <v>33</v>
      </c>
      <c r="E5" s="19" t="s">
        <v>31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7"/>
      <c r="B6" s="21" t="s">
        <v>39</v>
      </c>
      <c r="C6" s="13"/>
      <c r="D6" s="13"/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7"/>
      <c r="B7" s="23" t="s">
        <v>43</v>
      </c>
      <c r="C7" s="24">
        <v>3000.0</v>
      </c>
      <c r="D7" s="26" t="s">
        <v>47</v>
      </c>
      <c r="E7" s="27" t="s">
        <v>50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7"/>
      <c r="B8" s="28" t="s">
        <v>53</v>
      </c>
      <c r="C8" s="24">
        <v>2000.0</v>
      </c>
      <c r="D8" s="26" t="s">
        <v>54</v>
      </c>
      <c r="E8" s="27" t="s">
        <v>57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7"/>
      <c r="B9" s="29"/>
      <c r="C9" s="29"/>
      <c r="D9" s="29"/>
      <c r="E9" s="2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7"/>
      <c r="B10" s="30" t="s">
        <v>66</v>
      </c>
      <c r="C10" s="13"/>
      <c r="D10" s="13"/>
      <c r="E10" s="1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7"/>
      <c r="B11" s="23" t="s">
        <v>70</v>
      </c>
      <c r="C11" s="24">
        <v>3000.0</v>
      </c>
      <c r="D11" s="26" t="s">
        <v>73</v>
      </c>
      <c r="E11" s="27" t="s">
        <v>76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7"/>
      <c r="B12" s="28" t="s">
        <v>80</v>
      </c>
      <c r="C12" s="24">
        <v>1500.0</v>
      </c>
      <c r="D12" s="26" t="s">
        <v>82</v>
      </c>
      <c r="E12" s="27" t="s">
        <v>83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7"/>
      <c r="B13" s="29"/>
      <c r="C13" s="29"/>
      <c r="D13" s="29"/>
      <c r="E13" s="2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7"/>
      <c r="B14" s="30" t="s">
        <v>91</v>
      </c>
      <c r="C14" s="13"/>
      <c r="D14" s="13"/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7"/>
      <c r="B15" s="23" t="s">
        <v>103</v>
      </c>
      <c r="C15" s="24">
        <v>2000.0</v>
      </c>
      <c r="D15" s="26" t="s">
        <v>54</v>
      </c>
      <c r="E15" s="27" t="s">
        <v>105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7"/>
      <c r="B16" s="28" t="s">
        <v>111</v>
      </c>
      <c r="C16" s="24">
        <v>1500.0</v>
      </c>
      <c r="D16" s="26" t="s">
        <v>113</v>
      </c>
      <c r="E16" s="27" t="s">
        <v>115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7"/>
      <c r="B17" s="23" t="s">
        <v>120</v>
      </c>
      <c r="C17" s="24">
        <v>1000.0</v>
      </c>
      <c r="D17" s="26" t="s">
        <v>122</v>
      </c>
      <c r="E17" s="27" t="s">
        <v>124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7"/>
      <c r="B18" s="29"/>
      <c r="C18" s="29"/>
      <c r="D18" s="29"/>
      <c r="E18" s="2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7"/>
      <c r="B19" s="30" t="s">
        <v>130</v>
      </c>
      <c r="C19" s="13"/>
      <c r="D19" s="13"/>
      <c r="E19" s="1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7"/>
      <c r="B20" s="23" t="s">
        <v>136</v>
      </c>
      <c r="C20" s="24">
        <v>8000.0</v>
      </c>
      <c r="D20" s="26" t="s">
        <v>137</v>
      </c>
      <c r="E20" s="27" t="s">
        <v>138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7"/>
      <c r="B21" s="28" t="s">
        <v>141</v>
      </c>
      <c r="C21" s="24">
        <v>10000.0</v>
      </c>
      <c r="D21" s="26" t="s">
        <v>142</v>
      </c>
      <c r="E21" s="27" t="s">
        <v>143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7"/>
      <c r="B22" s="29"/>
      <c r="C22" s="29"/>
      <c r="D22" s="29"/>
      <c r="E22" s="2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7"/>
      <c r="B23" s="30" t="s">
        <v>148</v>
      </c>
      <c r="C23" s="13"/>
      <c r="D23" s="13"/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7"/>
      <c r="B24" s="23" t="s">
        <v>157</v>
      </c>
      <c r="C24" s="24">
        <v>2000.0</v>
      </c>
      <c r="D24" s="26" t="s">
        <v>54</v>
      </c>
      <c r="E24" s="27" t="s">
        <v>159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7"/>
      <c r="B25" s="28" t="s">
        <v>164</v>
      </c>
      <c r="C25" s="24">
        <v>1000.0</v>
      </c>
      <c r="D25" s="26" t="s">
        <v>113</v>
      </c>
      <c r="E25" s="27" t="s">
        <v>165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7"/>
      <c r="B26" s="23" t="s">
        <v>170</v>
      </c>
      <c r="C26" s="24">
        <v>500.0</v>
      </c>
      <c r="D26" s="26" t="s">
        <v>171</v>
      </c>
      <c r="E26" s="27" t="s">
        <v>172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7"/>
      <c r="B27" s="29"/>
      <c r="C27" s="29"/>
      <c r="D27" s="29"/>
      <c r="E27" s="2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7"/>
      <c r="B28" s="29"/>
      <c r="C28" s="29"/>
      <c r="D28" s="29"/>
      <c r="E28" s="2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6.25" customHeight="1">
      <c r="A29" s="7"/>
      <c r="B29" s="40" t="s">
        <v>176</v>
      </c>
      <c r="C29" s="41">
        <f>SUM(C6:C28)</f>
        <v>35500</v>
      </c>
      <c r="D29" s="29"/>
      <c r="E29" s="2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6.25" customHeight="1">
      <c r="A30" s="7"/>
      <c r="B30" s="40" t="s">
        <v>194</v>
      </c>
      <c r="C30" s="42">
        <f>C29*12</f>
        <v>426000</v>
      </c>
      <c r="D30" s="29"/>
      <c r="E30" s="2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6.25" customHeight="1">
      <c r="A31" s="7"/>
      <c r="B31" s="40" t="s">
        <v>196</v>
      </c>
      <c r="C31" s="41">
        <f>C29*36</f>
        <v>1278000</v>
      </c>
      <c r="D31" s="29"/>
      <c r="E31" s="2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</sheetData>
  <mergeCells count="7">
    <mergeCell ref="B2:E2"/>
    <mergeCell ref="B3:E3"/>
    <mergeCell ref="B6:E6"/>
    <mergeCell ref="B10:E10"/>
    <mergeCell ref="B14:E14"/>
    <mergeCell ref="B19:E19"/>
    <mergeCell ref="B23:E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7.5"/>
    <col customWidth="1" min="3" max="5" width="21.38"/>
    <col customWidth="1" min="6" max="6" width="46.13"/>
    <col customWidth="1" min="7" max="26" width="7.63"/>
  </cols>
  <sheetData>
    <row r="1">
      <c r="A1" s="1"/>
      <c r="B1" s="1"/>
      <c r="C1" s="1"/>
      <c r="D1" s="1"/>
      <c r="E1" s="1"/>
      <c r="F1" s="1"/>
    </row>
    <row r="2" ht="45.0" customHeight="1">
      <c r="A2" s="7"/>
      <c r="B2" s="12" t="s">
        <v>14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7"/>
      <c r="B3" s="8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9"/>
      <c r="B4" s="9"/>
      <c r="C4" s="9"/>
      <c r="D4" s="9"/>
      <c r="E4" s="9"/>
      <c r="F4" s="9"/>
    </row>
    <row r="5" ht="33.0" customHeight="1">
      <c r="A5" s="7"/>
      <c r="B5" s="17" t="s">
        <v>23</v>
      </c>
      <c r="C5" s="19" t="s">
        <v>29</v>
      </c>
      <c r="D5" s="19" t="s">
        <v>32</v>
      </c>
      <c r="E5" s="19" t="s">
        <v>34</v>
      </c>
      <c r="F5" s="19" t="s">
        <v>35</v>
      </c>
    </row>
    <row r="6" ht="18.75" customHeight="1">
      <c r="A6" s="7"/>
      <c r="B6" s="21" t="s">
        <v>37</v>
      </c>
      <c r="C6" s="13"/>
      <c r="D6" s="13"/>
      <c r="E6" s="13"/>
      <c r="F6" s="14"/>
    </row>
    <row r="7" ht="18.75" customHeight="1">
      <c r="A7" s="7"/>
      <c r="B7" s="23" t="s">
        <v>40</v>
      </c>
      <c r="C7" s="24">
        <v>3000.0</v>
      </c>
      <c r="D7" s="24">
        <v>50000.0</v>
      </c>
      <c r="E7" s="24">
        <v>150000.0</v>
      </c>
      <c r="F7" s="27" t="s">
        <v>48</v>
      </c>
    </row>
    <row r="8" ht="18.75" customHeight="1">
      <c r="A8" s="7"/>
      <c r="B8" s="28" t="s">
        <v>51</v>
      </c>
      <c r="C8" s="24">
        <v>5000.0</v>
      </c>
      <c r="D8" s="24">
        <v>80000.0</v>
      </c>
      <c r="E8" s="24">
        <v>200000.0</v>
      </c>
      <c r="F8" s="27" t="s">
        <v>58</v>
      </c>
    </row>
    <row r="9" ht="18.75" customHeight="1">
      <c r="A9" s="7"/>
      <c r="B9" s="23" t="s">
        <v>59</v>
      </c>
      <c r="C9" s="24">
        <v>6000.0</v>
      </c>
      <c r="D9" s="24">
        <v>100000.0</v>
      </c>
      <c r="E9" s="24">
        <v>250000.0</v>
      </c>
      <c r="F9" s="27" t="s">
        <v>60</v>
      </c>
    </row>
    <row r="10" ht="18.75" customHeight="1">
      <c r="A10" s="7"/>
      <c r="B10" s="28" t="s">
        <v>61</v>
      </c>
      <c r="C10" s="24">
        <v>8000.0</v>
      </c>
      <c r="D10" s="24">
        <v>120000.0</v>
      </c>
      <c r="E10" s="24">
        <v>300000.0</v>
      </c>
      <c r="F10" s="27" t="s">
        <v>62</v>
      </c>
    </row>
    <row r="11" ht="18.75" customHeight="1">
      <c r="A11" s="7"/>
      <c r="B11" s="23" t="s">
        <v>63</v>
      </c>
      <c r="C11" s="24">
        <v>10000.0</v>
      </c>
      <c r="D11" s="24">
        <v>140000.0</v>
      </c>
      <c r="E11" s="24">
        <v>350000.0</v>
      </c>
      <c r="F11" s="27" t="s">
        <v>65</v>
      </c>
    </row>
    <row r="12" ht="18.75" customHeight="1">
      <c r="A12" s="7"/>
      <c r="B12" s="29"/>
      <c r="C12" s="29"/>
      <c r="D12" s="29"/>
      <c r="E12" s="29"/>
      <c r="F12" s="29"/>
    </row>
    <row r="13" ht="18.75" customHeight="1">
      <c r="A13" s="7"/>
      <c r="B13" s="30" t="s">
        <v>67</v>
      </c>
      <c r="C13" s="13"/>
      <c r="D13" s="13"/>
      <c r="E13" s="13"/>
      <c r="F13" s="14"/>
    </row>
    <row r="14" ht="18.75" customHeight="1">
      <c r="A14" s="7"/>
      <c r="B14" s="23" t="s">
        <v>68</v>
      </c>
      <c r="C14" s="24">
        <v>2000.0</v>
      </c>
      <c r="D14" s="24">
        <v>5000.0</v>
      </c>
      <c r="E14" s="24">
        <v>10000.0</v>
      </c>
      <c r="F14" s="27" t="s">
        <v>69</v>
      </c>
    </row>
    <row r="15" ht="18.75" customHeight="1">
      <c r="A15" s="7"/>
      <c r="B15" s="28" t="s">
        <v>74</v>
      </c>
      <c r="C15" s="24">
        <v>2000.0</v>
      </c>
      <c r="D15" s="24">
        <v>5000.0</v>
      </c>
      <c r="E15" s="24">
        <v>8000.0</v>
      </c>
      <c r="F15" s="27" t="s">
        <v>77</v>
      </c>
    </row>
    <row r="16" ht="18.75" customHeight="1">
      <c r="A16" s="7"/>
      <c r="B16" s="23" t="s">
        <v>78</v>
      </c>
      <c r="C16" s="24">
        <v>0.0</v>
      </c>
      <c r="D16" s="32">
        <v>20000.0</v>
      </c>
      <c r="E16" s="24">
        <v>36000.0</v>
      </c>
      <c r="F16" s="27" t="s">
        <v>87</v>
      </c>
    </row>
    <row r="17" ht="18.75" customHeight="1">
      <c r="A17" s="7"/>
      <c r="B17" s="28" t="s">
        <v>89</v>
      </c>
      <c r="C17" s="24">
        <v>0.0</v>
      </c>
      <c r="D17" s="32">
        <v>15000.0</v>
      </c>
      <c r="E17" s="24">
        <v>30000.0</v>
      </c>
      <c r="F17" s="27" t="s">
        <v>92</v>
      </c>
    </row>
    <row r="18" ht="18.75" customHeight="1">
      <c r="A18" s="7"/>
      <c r="B18" s="23" t="s">
        <v>95</v>
      </c>
      <c r="C18" s="24">
        <v>500.0</v>
      </c>
      <c r="D18" s="24">
        <v>5000.0</v>
      </c>
      <c r="E18" s="24">
        <v>15000.0</v>
      </c>
      <c r="F18" s="27" t="s">
        <v>96</v>
      </c>
    </row>
    <row r="19" ht="18.75" customHeight="1">
      <c r="A19" s="7"/>
      <c r="B19" s="28" t="s">
        <v>98</v>
      </c>
      <c r="C19" s="24">
        <v>0.0</v>
      </c>
      <c r="D19" s="24">
        <v>5000.0</v>
      </c>
      <c r="E19" s="24">
        <v>10000.0</v>
      </c>
      <c r="F19" s="27" t="s">
        <v>101</v>
      </c>
    </row>
    <row r="20" ht="18.75" customHeight="1">
      <c r="A20" s="7"/>
      <c r="B20" s="23" t="s">
        <v>104</v>
      </c>
      <c r="C20" s="24">
        <v>500.0</v>
      </c>
      <c r="D20" s="32">
        <v>4000.0</v>
      </c>
      <c r="E20" s="24">
        <v>8000.0</v>
      </c>
      <c r="F20" s="27" t="s">
        <v>107</v>
      </c>
    </row>
    <row r="21" ht="18.75" customHeight="1">
      <c r="A21" s="7"/>
      <c r="B21" s="29"/>
      <c r="C21" s="29"/>
      <c r="D21" s="29"/>
      <c r="E21" s="29"/>
      <c r="F21" s="29"/>
    </row>
    <row r="22" ht="18.75" customHeight="1">
      <c r="A22" s="7"/>
      <c r="B22" s="30" t="s">
        <v>112</v>
      </c>
      <c r="C22" s="13"/>
      <c r="D22" s="13"/>
      <c r="E22" s="13"/>
      <c r="F22" s="14"/>
    </row>
    <row r="23" ht="18.75" customHeight="1">
      <c r="A23" s="7"/>
      <c r="B23" s="23" t="s">
        <v>123</v>
      </c>
      <c r="C23" s="33" t="s">
        <v>125</v>
      </c>
      <c r="D23" s="33" t="s">
        <v>128</v>
      </c>
      <c r="E23" s="33" t="s">
        <v>129</v>
      </c>
      <c r="F23" s="29"/>
    </row>
    <row r="24" ht="18.75" customHeight="1">
      <c r="A24" s="7"/>
      <c r="B24" s="28" t="s">
        <v>131</v>
      </c>
      <c r="C24" s="38">
        <f t="shared" ref="C24:E24" si="1">(C7+SUM(C$14:C$20))*2</f>
        <v>16000</v>
      </c>
      <c r="D24" s="38">
        <f t="shared" si="1"/>
        <v>218000</v>
      </c>
      <c r="E24" s="38">
        <f t="shared" si="1"/>
        <v>534000</v>
      </c>
      <c r="F24" s="29"/>
    </row>
    <row r="25" ht="18.75" customHeight="1">
      <c r="A25" s="7"/>
      <c r="B25" s="23" t="s">
        <v>174</v>
      </c>
      <c r="C25" s="38">
        <f t="shared" ref="C25:E25" si="2">(C8+SUM(C$14:C$20))*5</f>
        <v>50000</v>
      </c>
      <c r="D25" s="38">
        <f t="shared" si="2"/>
        <v>695000</v>
      </c>
      <c r="E25" s="38">
        <f t="shared" si="2"/>
        <v>1585000</v>
      </c>
      <c r="F25" s="29"/>
    </row>
    <row r="26" ht="18.75" customHeight="1">
      <c r="A26" s="7"/>
      <c r="B26" s="28" t="s">
        <v>179</v>
      </c>
      <c r="C26" s="38">
        <f t="shared" ref="C26:E26" si="3">(C9+SUM(C$14:C$20))*3</f>
        <v>33000</v>
      </c>
      <c r="D26" s="38">
        <f t="shared" si="3"/>
        <v>477000</v>
      </c>
      <c r="E26" s="38">
        <f t="shared" si="3"/>
        <v>1101000</v>
      </c>
      <c r="F26" s="29"/>
    </row>
    <row r="27" ht="18.75" customHeight="1">
      <c r="A27" s="7"/>
      <c r="B27" s="23" t="s">
        <v>189</v>
      </c>
      <c r="C27" s="38">
        <f t="shared" ref="C27:E27" si="4">(C10+SUM(C$14:C$20))*2</f>
        <v>26000</v>
      </c>
      <c r="D27" s="38">
        <f t="shared" si="4"/>
        <v>358000</v>
      </c>
      <c r="E27" s="38">
        <f t="shared" si="4"/>
        <v>834000</v>
      </c>
      <c r="F27" s="29"/>
    </row>
    <row r="28" ht="18.75" customHeight="1">
      <c r="A28" s="7"/>
      <c r="B28" s="28" t="s">
        <v>191</v>
      </c>
      <c r="C28" s="38">
        <f t="shared" ref="C28:E28" si="5">(C11+SUM(C$14:C$20))*2</f>
        <v>30000</v>
      </c>
      <c r="D28" s="38">
        <f t="shared" si="5"/>
        <v>398000</v>
      </c>
      <c r="E28" s="38">
        <f t="shared" si="5"/>
        <v>934000</v>
      </c>
      <c r="F28" s="29"/>
    </row>
    <row r="29" ht="18.75" customHeight="1">
      <c r="A29" s="7"/>
      <c r="B29" s="23" t="s">
        <v>192</v>
      </c>
      <c r="C29" s="24">
        <v>5000.0</v>
      </c>
      <c r="D29" s="24">
        <v>50000.0</v>
      </c>
      <c r="E29" s="24">
        <v>200000.0</v>
      </c>
      <c r="F29" s="29"/>
    </row>
    <row r="30">
      <c r="A30" s="7"/>
      <c r="B30" s="29"/>
      <c r="C30" s="29"/>
      <c r="D30" s="29"/>
      <c r="E30" s="29"/>
      <c r="F30" s="29"/>
    </row>
    <row r="31" ht="26.25" customHeight="1">
      <c r="A31" s="7"/>
      <c r="B31" s="40" t="s">
        <v>195</v>
      </c>
      <c r="C31" s="43">
        <f t="shared" ref="C31:E31" si="6">SUM(C24:C29)</f>
        <v>160000</v>
      </c>
      <c r="D31" s="43">
        <f t="shared" si="6"/>
        <v>2196000</v>
      </c>
      <c r="E31" s="43">
        <f t="shared" si="6"/>
        <v>5188000</v>
      </c>
      <c r="F31" s="29"/>
    </row>
    <row r="32">
      <c r="A32" s="7"/>
      <c r="B32" s="7"/>
      <c r="C32" s="7"/>
      <c r="D32" s="7"/>
      <c r="E32" s="7"/>
      <c r="F32" s="7"/>
    </row>
    <row r="33" ht="18.75" customHeight="1">
      <c r="A33" s="7"/>
      <c r="B33" s="8" t="s">
        <v>197</v>
      </c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</sheetData>
  <mergeCells count="6">
    <mergeCell ref="B2:F2"/>
    <mergeCell ref="B3:F3"/>
    <mergeCell ref="B6:F6"/>
    <mergeCell ref="B13:F13"/>
    <mergeCell ref="B22:F22"/>
    <mergeCell ref="B33:F3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1.25"/>
    <col customWidth="1" min="3" max="4" width="19.25"/>
    <col customWidth="1" min="5" max="5" width="50.63"/>
    <col customWidth="1" min="6" max="26" width="7.63"/>
  </cols>
  <sheetData>
    <row r="1">
      <c r="A1" s="1"/>
      <c r="B1" s="1"/>
      <c r="C1" s="1"/>
      <c r="D1" s="1"/>
      <c r="E1" s="1"/>
    </row>
    <row r="2" ht="45.0" customHeight="1">
      <c r="A2" s="44"/>
      <c r="B2" s="5" t="s">
        <v>198</v>
      </c>
      <c r="C2" s="45"/>
      <c r="D2" s="45"/>
      <c r="E2" s="45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8.75" customHeight="1">
      <c r="A3" s="4"/>
      <c r="B3" s="8" t="s">
        <v>199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4"/>
      <c r="B4" s="7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4"/>
      <c r="B5" s="19" t="s">
        <v>200</v>
      </c>
      <c r="C5" s="19" t="s">
        <v>201</v>
      </c>
      <c r="D5" s="19" t="s">
        <v>202</v>
      </c>
      <c r="E5" s="19" t="s">
        <v>31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4"/>
      <c r="B6" s="47" t="s">
        <v>203</v>
      </c>
      <c r="C6" s="24">
        <v>48000.0</v>
      </c>
      <c r="D6" s="48">
        <v>2.0</v>
      </c>
      <c r="E6" s="49" t="s">
        <v>204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4"/>
      <c r="B7" s="50" t="s">
        <v>207</v>
      </c>
      <c r="C7" s="24">
        <v>72000.0</v>
      </c>
      <c r="D7" s="48">
        <v>2.0</v>
      </c>
      <c r="E7" s="49" t="s">
        <v>209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4"/>
      <c r="B8" s="47" t="s">
        <v>212</v>
      </c>
      <c r="C8" s="24">
        <v>150000.0</v>
      </c>
      <c r="D8" s="48">
        <v>2.0</v>
      </c>
      <c r="E8" s="49" t="s">
        <v>213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4"/>
      <c r="B9" s="50" t="s">
        <v>214</v>
      </c>
      <c r="C9" s="32">
        <v>40000.0</v>
      </c>
      <c r="D9" s="48">
        <v>10.0</v>
      </c>
      <c r="E9" s="49" t="s">
        <v>217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4"/>
      <c r="B10" s="7"/>
      <c r="C10" s="29"/>
      <c r="D10" s="7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4"/>
      <c r="B11" s="54" t="s">
        <v>222</v>
      </c>
      <c r="C11" s="43">
        <f>SUMPRODUCT(C6:C9,D6:D9)</f>
        <v>940000</v>
      </c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4"/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4"/>
      <c r="B13" s="8" t="s">
        <v>231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</sheetData>
  <mergeCells count="2">
    <mergeCell ref="B3:E3"/>
    <mergeCell ref="B13:E1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8.0"/>
    <col customWidth="1" min="3" max="3" width="31.13"/>
    <col customWidth="1" min="4" max="4" width="49.63"/>
    <col customWidth="1" min="5" max="26" width="7.63"/>
  </cols>
  <sheetData>
    <row r="1">
      <c r="A1" s="1"/>
      <c r="B1" s="1"/>
      <c r="C1" s="1"/>
      <c r="D1" s="1"/>
    </row>
    <row r="2" ht="45.0" customHeight="1">
      <c r="A2" s="9"/>
      <c r="B2" s="12" t="s">
        <v>206</v>
      </c>
    </row>
    <row r="3">
      <c r="A3" s="9"/>
      <c r="B3" s="9"/>
      <c r="C3" s="9"/>
      <c r="D3" s="9"/>
    </row>
    <row r="4" ht="18.75" customHeight="1">
      <c r="A4" s="7"/>
      <c r="B4" s="17" t="s">
        <v>208</v>
      </c>
      <c r="C4" s="19" t="s">
        <v>210</v>
      </c>
      <c r="D4" s="19" t="s">
        <v>31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7"/>
      <c r="B5" s="21" t="s">
        <v>215</v>
      </c>
      <c r="C5" s="13"/>
      <c r="D5" s="1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7"/>
      <c r="B6" s="23" t="s">
        <v>218</v>
      </c>
      <c r="C6" s="24">
        <v>0.0</v>
      </c>
      <c r="D6" s="27" t="s">
        <v>224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7"/>
      <c r="B7" s="28" t="s">
        <v>225</v>
      </c>
      <c r="C7" s="24">
        <v>40000.0</v>
      </c>
      <c r="D7" s="27" t="s">
        <v>226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7"/>
      <c r="B8" s="23" t="s">
        <v>227</v>
      </c>
      <c r="C8" s="24">
        <v>15000.0</v>
      </c>
      <c r="D8" s="27" t="s">
        <v>228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7"/>
      <c r="B9" s="29"/>
      <c r="C9" s="29"/>
      <c r="D9" s="2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7"/>
      <c r="B10" s="30" t="s">
        <v>229</v>
      </c>
      <c r="C10" s="13"/>
      <c r="D10" s="14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7"/>
      <c r="B11" s="23" t="s">
        <v>230</v>
      </c>
      <c r="C11" s="24">
        <v>18000.0</v>
      </c>
      <c r="D11" s="27" t="s">
        <v>232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7"/>
      <c r="B12" s="28" t="s">
        <v>233</v>
      </c>
      <c r="C12" s="24">
        <v>36000.0</v>
      </c>
      <c r="D12" s="27" t="s">
        <v>234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7"/>
      <c r="B13" s="23" t="s">
        <v>235</v>
      </c>
      <c r="C13" s="24">
        <v>58500.0</v>
      </c>
      <c r="D13" s="27" t="s">
        <v>237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7"/>
      <c r="B14" s="28" t="s">
        <v>238</v>
      </c>
      <c r="C14" s="24">
        <v>108000.0</v>
      </c>
      <c r="D14" s="27" t="s">
        <v>239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7"/>
      <c r="B15" s="23" t="s">
        <v>241</v>
      </c>
      <c r="C15" s="24">
        <v>50000.0</v>
      </c>
      <c r="D15" s="27" t="s">
        <v>242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7"/>
      <c r="B16" s="28" t="s">
        <v>243</v>
      </c>
      <c r="C16" s="24">
        <v>20000.0</v>
      </c>
      <c r="D16" s="27" t="s">
        <v>244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7"/>
      <c r="B17" s="29"/>
      <c r="C17" s="29"/>
      <c r="D17" s="29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7"/>
      <c r="B18" s="30" t="s">
        <v>245</v>
      </c>
      <c r="C18" s="13"/>
      <c r="D18" s="1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7"/>
      <c r="B19" s="23" t="s">
        <v>248</v>
      </c>
      <c r="C19" s="24">
        <v>180000.0</v>
      </c>
      <c r="D19" s="27" t="s">
        <v>249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7"/>
      <c r="B20" s="28" t="s">
        <v>250</v>
      </c>
      <c r="C20" s="24">
        <v>100000.0</v>
      </c>
      <c r="D20" s="27" t="s">
        <v>251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7"/>
      <c r="B21" s="23" t="s">
        <v>252</v>
      </c>
      <c r="C21" s="24">
        <v>50000.0</v>
      </c>
      <c r="D21" s="27" t="s">
        <v>253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7"/>
      <c r="B22" s="29"/>
      <c r="C22" s="29"/>
      <c r="D22" s="2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7"/>
      <c r="B23" s="40" t="s">
        <v>258</v>
      </c>
      <c r="C23" s="41">
        <f>SUM(C6:C22)</f>
        <v>675500</v>
      </c>
      <c r="D23" s="2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mergeCells count="4">
    <mergeCell ref="B2:D2"/>
    <mergeCell ref="B5:D5"/>
    <mergeCell ref="B10:D10"/>
    <mergeCell ref="B18:D1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78.88"/>
    <col customWidth="1" min="3" max="4" width="24.5"/>
    <col customWidth="1" min="5" max="5" width="35.0"/>
    <col customWidth="1" min="6" max="26" width="7.63"/>
  </cols>
  <sheetData>
    <row r="1">
      <c r="A1" s="1"/>
      <c r="B1" s="1"/>
      <c r="C1" s="1"/>
      <c r="D1" s="1"/>
      <c r="E1" s="1"/>
    </row>
    <row r="2" ht="21.75" customHeight="1">
      <c r="A2" s="1"/>
      <c r="B2" s="51" t="s">
        <v>205</v>
      </c>
      <c r="C2" s="1"/>
      <c r="D2" s="1"/>
      <c r="E2" s="1"/>
    </row>
    <row r="3" ht="15.0" customHeight="1">
      <c r="A3" s="1"/>
      <c r="B3" s="52" t="s">
        <v>211</v>
      </c>
    </row>
    <row r="4">
      <c r="A4" s="1"/>
      <c r="B4" s="1"/>
      <c r="C4" s="1"/>
      <c r="D4" s="1"/>
      <c r="E4" s="1"/>
    </row>
    <row r="5" ht="26.25" customHeight="1">
      <c r="A5" s="1"/>
      <c r="B5" s="53" t="s">
        <v>216</v>
      </c>
      <c r="C5" s="53" t="s">
        <v>219</v>
      </c>
      <c r="D5" s="53" t="s">
        <v>220</v>
      </c>
      <c r="E5" s="53" t="s">
        <v>221</v>
      </c>
    </row>
    <row r="6" ht="15.0" customHeight="1">
      <c r="A6" s="1"/>
      <c r="B6" s="55" t="s">
        <v>223</v>
      </c>
      <c r="C6" s="56">
        <f>'Birth Cost'!C32</f>
        <v>317500</v>
      </c>
      <c r="D6" s="56">
        <f>C6*1</f>
        <v>317500</v>
      </c>
      <c r="E6" s="57" t="s">
        <v>236</v>
      </c>
    </row>
    <row r="7" ht="15.0" customHeight="1">
      <c r="A7" s="1"/>
      <c r="B7" s="55" t="s">
        <v>240</v>
      </c>
      <c r="C7" s="56">
        <f>'First 3 Years'!C31</f>
        <v>1278000</v>
      </c>
      <c r="D7" s="56">
        <f>C7*1.18</f>
        <v>1508040</v>
      </c>
      <c r="E7" s="57" t="s">
        <v>246</v>
      </c>
    </row>
    <row r="8" ht="15.0" customHeight="1">
      <c r="A8" s="1"/>
      <c r="B8" s="55" t="s">
        <v>247</v>
      </c>
      <c r="C8" s="56">
        <f>'Education 3-18'!C31</f>
        <v>160000</v>
      </c>
      <c r="D8" s="56">
        <f t="shared" ref="D8:D10" si="1">C8*2.16</f>
        <v>345600</v>
      </c>
      <c r="E8" s="57" t="s">
        <v>254</v>
      </c>
    </row>
    <row r="9" ht="15.0" customHeight="1">
      <c r="A9" s="1"/>
      <c r="B9" s="55" t="s">
        <v>255</v>
      </c>
      <c r="C9" s="56">
        <f>'Education 3-18'!D31</f>
        <v>2196000</v>
      </c>
      <c r="D9" s="56">
        <f t="shared" si="1"/>
        <v>4743360</v>
      </c>
      <c r="E9" s="57" t="s">
        <v>256</v>
      </c>
    </row>
    <row r="10" ht="15.0" customHeight="1">
      <c r="A10" s="1"/>
      <c r="B10" s="55" t="s">
        <v>257</v>
      </c>
      <c r="C10" s="56">
        <f>'Education 3-18'!E31</f>
        <v>5188000</v>
      </c>
      <c r="D10" s="56">
        <f t="shared" si="1"/>
        <v>11206080</v>
      </c>
      <c r="E10" s="57" t="s">
        <v>256</v>
      </c>
    </row>
    <row r="11" ht="15.0" customHeight="1">
      <c r="A11" s="1"/>
      <c r="B11" s="55" t="s">
        <v>259</v>
      </c>
      <c r="C11" s="56">
        <f>'Coaching &amp; Tuition'!C11</f>
        <v>940000</v>
      </c>
      <c r="D11" s="56">
        <f>C11*1.8</f>
        <v>1692000</v>
      </c>
      <c r="E11" s="57" t="s">
        <v>260</v>
      </c>
    </row>
    <row r="12" ht="15.0" customHeight="1">
      <c r="A12" s="1"/>
      <c r="B12" s="55" t="s">
        <v>261</v>
      </c>
      <c r="C12" s="56">
        <f>'Healthcare 0-18'!C23</f>
        <v>675500</v>
      </c>
      <c r="D12" s="56">
        <f t="shared" ref="D12:D13" si="2">C12*1.6</f>
        <v>1080800</v>
      </c>
      <c r="E12" s="57" t="s">
        <v>262</v>
      </c>
    </row>
    <row r="13">
      <c r="A13" s="1"/>
      <c r="B13" s="58" t="s">
        <v>263</v>
      </c>
      <c r="C13" s="56">
        <f>sum(C6:C12)*10%</f>
        <v>1075500</v>
      </c>
      <c r="D13" s="56">
        <f t="shared" si="2"/>
        <v>1720800</v>
      </c>
      <c r="E13" s="57" t="s">
        <v>262</v>
      </c>
    </row>
    <row r="14" ht="15.75" customHeight="1">
      <c r="A14" s="1"/>
      <c r="B14" s="59" t="s">
        <v>264</v>
      </c>
      <c r="C14" s="13"/>
      <c r="D14" s="13"/>
      <c r="E14" s="14"/>
    </row>
    <row r="15" ht="17.25" customHeight="1">
      <c r="A15" s="1"/>
      <c r="B15" s="60" t="s">
        <v>265</v>
      </c>
      <c r="C15" s="61">
        <f t="shared" ref="C15:D15" si="3">C6+C7+C8+C11+C12+C13</f>
        <v>4446500</v>
      </c>
      <c r="D15" s="61">
        <f t="shared" si="3"/>
        <v>6664740</v>
      </c>
      <c r="E15" s="1"/>
    </row>
    <row r="16">
      <c r="A16" s="1"/>
      <c r="B16" s="1"/>
      <c r="C16" s="1"/>
      <c r="D16" s="1"/>
      <c r="E16" s="1"/>
    </row>
    <row r="17" ht="15.75" customHeight="1">
      <c r="A17" s="1"/>
      <c r="B17" s="59" t="s">
        <v>266</v>
      </c>
      <c r="C17" s="13"/>
      <c r="D17" s="13"/>
      <c r="E17" s="14"/>
    </row>
    <row r="18" ht="17.25" customHeight="1">
      <c r="A18" s="1"/>
      <c r="B18" s="58" t="s">
        <v>267</v>
      </c>
      <c r="C18" s="61">
        <f t="shared" ref="C18:D18" si="4">C6+C7+C9+C11+C12+C13</f>
        <v>6482500</v>
      </c>
      <c r="D18" s="61">
        <f t="shared" si="4"/>
        <v>11062500</v>
      </c>
      <c r="E18" s="1"/>
    </row>
    <row r="19">
      <c r="A19" s="1"/>
      <c r="B19" s="1"/>
      <c r="C19" s="1"/>
      <c r="D19" s="1"/>
      <c r="E19" s="1"/>
    </row>
    <row r="20" ht="15.75" customHeight="1">
      <c r="A20" s="1"/>
      <c r="B20" s="59" t="s">
        <v>268</v>
      </c>
      <c r="C20" s="13"/>
      <c r="D20" s="13"/>
      <c r="E20" s="14"/>
    </row>
    <row r="21" ht="17.25" customHeight="1">
      <c r="A21" s="1"/>
      <c r="B21" s="58" t="s">
        <v>269</v>
      </c>
      <c r="C21" s="61">
        <f t="shared" ref="C21:D21" si="5">C6+C7+C10+C11+C12+C13</f>
        <v>9474500</v>
      </c>
      <c r="D21" s="61">
        <f t="shared" si="5"/>
        <v>17525220</v>
      </c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 ht="15.75" customHeight="1">
      <c r="A24" s="1"/>
      <c r="B24" s="59" t="s">
        <v>270</v>
      </c>
      <c r="C24" s="13"/>
      <c r="D24" s="13"/>
      <c r="E24" s="14"/>
    </row>
    <row r="25" ht="15.0" customHeight="1">
      <c r="A25" s="1"/>
      <c r="B25" s="3" t="s">
        <v>271</v>
      </c>
      <c r="C25" s="1"/>
      <c r="D25" s="1"/>
      <c r="E25" s="1"/>
    </row>
    <row r="26" ht="15.0" customHeight="1">
      <c r="A26" s="1"/>
      <c r="B26" s="3" t="s">
        <v>272</v>
      </c>
      <c r="C26" s="1"/>
      <c r="D26" s="1"/>
      <c r="E26" s="1"/>
    </row>
    <row r="27" ht="15.0" customHeight="1">
      <c r="A27" s="1"/>
      <c r="B27" s="3" t="s">
        <v>273</v>
      </c>
      <c r="C27" s="1"/>
      <c r="D27" s="1"/>
      <c r="E27" s="1"/>
    </row>
    <row r="28" ht="15.0" customHeight="1">
      <c r="A28" s="1"/>
      <c r="B28" s="2"/>
      <c r="C28" s="1"/>
      <c r="D28" s="1"/>
      <c r="E28" s="1"/>
    </row>
    <row r="29" ht="15.0" customHeight="1">
      <c r="A29" s="1"/>
      <c r="B29" s="3" t="s">
        <v>274</v>
      </c>
      <c r="C29" s="1"/>
      <c r="D29" s="1"/>
      <c r="E29" s="1"/>
    </row>
    <row r="30" ht="15.0" customHeight="1">
      <c r="A30" s="1"/>
      <c r="B30" s="2" t="s">
        <v>275</v>
      </c>
      <c r="C30" s="1"/>
      <c r="D30" s="1"/>
      <c r="E30" s="1"/>
    </row>
    <row r="31" ht="15.0" customHeight="1">
      <c r="A31" s="1"/>
      <c r="B31" s="2" t="s">
        <v>276</v>
      </c>
      <c r="C31" s="1"/>
      <c r="D31" s="1"/>
      <c r="E31" s="1"/>
    </row>
    <row r="32" ht="15.0" customHeight="1">
      <c r="A32" s="1"/>
      <c r="B32" s="2" t="s">
        <v>277</v>
      </c>
      <c r="C32" s="1"/>
      <c r="D32" s="1"/>
      <c r="E32" s="1"/>
    </row>
    <row r="33" ht="15.0" customHeight="1">
      <c r="A33" s="1"/>
      <c r="B33" s="2" t="s">
        <v>278</v>
      </c>
      <c r="C33" s="1"/>
      <c r="D33" s="1"/>
      <c r="E33" s="1"/>
    </row>
    <row r="34" ht="15.0" customHeight="1">
      <c r="A34" s="1"/>
      <c r="B34" s="2" t="s">
        <v>279</v>
      </c>
      <c r="C34" s="1"/>
      <c r="D34" s="1"/>
      <c r="E34" s="1"/>
    </row>
    <row r="35">
      <c r="A35" s="1"/>
      <c r="B35" s="1"/>
      <c r="C35" s="1"/>
      <c r="D35" s="1"/>
      <c r="E35" s="1"/>
    </row>
    <row r="36" ht="15.0" customHeight="1">
      <c r="A36" s="1"/>
      <c r="B36" s="62" t="s">
        <v>280</v>
      </c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</sheetData>
  <mergeCells count="5">
    <mergeCell ref="B3:E3"/>
    <mergeCell ref="B14:E14"/>
    <mergeCell ref="B17:E17"/>
    <mergeCell ref="B20:E20"/>
    <mergeCell ref="B24:E24"/>
  </mergeCells>
  <printOptions/>
  <pageMargins bottom="1.0" footer="0.0" header="0.0" left="0.75" right="0.75" top="1.0"/>
  <pageSetup paperSize="9" orientation="portrait"/>
  <drawing r:id="rId1"/>
</worksheet>
</file>